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drawings/drawing2.xml" ContentType="application/vnd.openxmlformats-officedocument.drawing+xml"/>
  <Override PartName="/xl/ink/ink26.xml" ContentType="application/inkml+xml"/>
  <Override PartName="/xl/ink/ink27.xml" ContentType="application/inkml+xml"/>
  <Override PartName="/xl/ink/ink28.xml" ContentType="application/inkml+xml"/>
  <Override PartName="/xl/drawings/drawing3.xml" ContentType="application/vnd.openxmlformats-officedocument.drawing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drawings/drawing5.xml" ContentType="application/vnd.openxmlformats-officedocument.drawing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drawings/drawing6.xml" ContentType="application/vnd.openxmlformats-officedocument.drawing+xml"/>
  <Override PartName="/xl/ink/ink59.xml" ContentType="application/inkml+xml"/>
  <Override PartName="/xl/drawings/drawing7.xml" ContentType="application/vnd.openxmlformats-officedocument.drawing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ink/ink82.xml" ContentType="application/inkml+xml"/>
  <Override PartName="/xl/ink/ink83.xml" ContentType="application/inkml+xml"/>
  <Override PartName="/xl/drawings/drawing9.xml" ContentType="application/vnd.openxmlformats-officedocument.drawing+xml"/>
  <Override PartName="/xl/ink/ink84.xml" ContentType="application/inkml+xml"/>
  <Override PartName="/xl/ink/ink85.xml" ContentType="application/inkml+xml"/>
  <Override PartName="/xl/ink/ink8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\Downloads\Telegram Desktop\"/>
    </mc:Choice>
  </mc:AlternateContent>
  <xr:revisionPtr revIDLastSave="0" documentId="8_{5D2B5B76-05A9-43E7-BF1E-95FF742C6167}" xr6:coauthVersionLast="47" xr6:coauthVersionMax="47" xr10:uidLastSave="{00000000-0000-0000-0000-000000000000}"/>
  <bookViews>
    <workbookView xWindow="1740" yWindow="240" windowWidth="18324" windowHeight="12000" firstSheet="9" activeTab="9" xr2:uid="{E6FE70A6-2C3C-4ABA-AFDA-126815D2E5F9}"/>
  </bookViews>
  <sheets>
    <sheet name="Sheet1" sheetId="1" r:id="rId1"/>
    <sheet name="Formatting" sheetId="2" r:id="rId2"/>
    <sheet name="Data Types" sheetId="3" r:id="rId3"/>
    <sheet name="Sorting of Data" sheetId="4" r:id="rId4"/>
    <sheet name="Basic formulas and functions" sheetId="5" r:id="rId5"/>
    <sheet name="Filtering of Data" sheetId="10" r:id="rId6"/>
    <sheet name="Cell referencing and Percentage" sheetId="6" r:id="rId7"/>
    <sheet name="TEXT functions" sheetId="7" r:id="rId8"/>
    <sheet name="Date Time functions" sheetId="8" r:id="rId9"/>
    <sheet name="IF and IFs" sheetId="9" r:id="rId10"/>
    <sheet name="Logical operators" sheetId="11" r:id="rId11"/>
    <sheet name="Logical functions" sheetId="12" r:id="rId12"/>
    <sheet name="HLOOKUP" sheetId="13" r:id="rId13"/>
    <sheet name="VLOOKUP" sheetId="14" r:id="rId14"/>
    <sheet name="LOOKUP" sheetId="15" r:id="rId15"/>
    <sheet name="Sheet4" sheetId="19" r:id="rId16"/>
  </sheets>
  <externalReferences>
    <externalReference r:id="rId17"/>
    <externalReference r:id="rId18"/>
  </externalReferences>
  <definedNames>
    <definedName name="B">'[1]Scenario manager'!#REF!</definedName>
    <definedName name="button">'[2]Scenario manager'!#REF!</definedName>
    <definedName name="GRADES">'[2]Data for dropdown'!$F$4:$F$10</definedName>
    <definedName name="NativeTimeline_Date">#REF!</definedName>
    <definedName name="Sale_Values">[1]Sheet6!$C$20:$C$30</definedName>
    <definedName name="Sales">#REF!</definedName>
    <definedName name="Sceen">'[2]Scenario manager'!#REF!</definedName>
    <definedName name="Slicer_Products">#REF!</definedName>
    <definedName name="Slicer_Region">#REF!</definedName>
    <definedName name="Total">'[2]Data Table'!#REF!</definedName>
    <definedName name="Type_of_data">'[2]Dependent dropdown'!#REF!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3" i="19" l="1" a="1"/>
  <c r="D3" i="19"/>
  <c r="D4" i="19" a="1"/>
  <c r="D4" i="19"/>
  <c r="D5" i="19" a="1"/>
  <c r="D5" i="19"/>
  <c r="D6" i="19" a="1"/>
  <c r="D6" i="19" s="1"/>
  <c r="D7" i="19" a="1"/>
  <c r="D7" i="19"/>
  <c r="D8" i="19" a="1"/>
  <c r="D8" i="19"/>
  <c r="D2" i="19" a="1"/>
  <c r="D2" i="19" s="1"/>
  <c r="D62" i="15"/>
  <c r="E62" i="15"/>
  <c r="F62" i="15"/>
  <c r="G62" i="15"/>
  <c r="H62" i="15"/>
  <c r="I62" i="15"/>
  <c r="C62" i="15"/>
  <c r="D61" i="15"/>
  <c r="E61" i="15"/>
  <c r="F61" i="15"/>
  <c r="G61" i="15"/>
  <c r="H61" i="15"/>
  <c r="I61" i="15"/>
  <c r="C61" i="15"/>
  <c r="D60" i="15"/>
  <c r="E60" i="15"/>
  <c r="F60" i="15"/>
  <c r="G60" i="15"/>
  <c r="H60" i="15"/>
  <c r="I60" i="15"/>
  <c r="C60" i="15"/>
  <c r="D59" i="15"/>
  <c r="E59" i="15"/>
  <c r="F59" i="15"/>
  <c r="G59" i="15"/>
  <c r="H59" i="15"/>
  <c r="I59" i="15"/>
  <c r="C59" i="15"/>
  <c r="J31" i="15"/>
  <c r="J32" i="15"/>
  <c r="J33" i="15"/>
  <c r="J34" i="15"/>
  <c r="J35" i="15"/>
  <c r="J36" i="15"/>
  <c r="J37" i="15"/>
  <c r="K32" i="15"/>
  <c r="K33" i="15"/>
  <c r="K34" i="15"/>
  <c r="K35" i="15"/>
  <c r="K36" i="15"/>
  <c r="K37" i="15"/>
  <c r="K31" i="15"/>
  <c r="I32" i="15"/>
  <c r="I33" i="15"/>
  <c r="I34" i="15"/>
  <c r="I35" i="15"/>
  <c r="I36" i="15"/>
  <c r="I37" i="15"/>
  <c r="I31" i="15"/>
  <c r="H32" i="15"/>
  <c r="H33" i="15"/>
  <c r="H34" i="15"/>
  <c r="H35" i="15"/>
  <c r="H36" i="15"/>
  <c r="H37" i="15"/>
  <c r="H31" i="15"/>
  <c r="G6" i="15"/>
  <c r="G7" i="15"/>
  <c r="G8" i="15"/>
  <c r="G9" i="15"/>
  <c r="G10" i="15"/>
  <c r="G5" i="15"/>
  <c r="F6" i="15"/>
  <c r="F7" i="15"/>
  <c r="F8" i="15"/>
  <c r="F9" i="15"/>
  <c r="F10" i="15"/>
  <c r="F5" i="15"/>
  <c r="I6" i="14"/>
  <c r="J6" i="14"/>
  <c r="K6" i="14"/>
  <c r="L6" i="14"/>
  <c r="M6" i="14"/>
  <c r="N6" i="14"/>
  <c r="O6" i="14"/>
  <c r="H6" i="14"/>
  <c r="I5" i="14"/>
  <c r="J5" i="14"/>
  <c r="K5" i="14"/>
  <c r="L5" i="14"/>
  <c r="M5" i="14"/>
  <c r="N5" i="14"/>
  <c r="O5" i="14"/>
  <c r="H5" i="14"/>
  <c r="I4" i="14"/>
  <c r="J4" i="14"/>
  <c r="K4" i="14"/>
  <c r="L4" i="14"/>
  <c r="M4" i="14"/>
  <c r="N4" i="14"/>
  <c r="O4" i="14"/>
  <c r="H4" i="14"/>
  <c r="E12" i="13"/>
  <c r="E13" i="13"/>
  <c r="E14" i="13"/>
  <c r="E15" i="13"/>
  <c r="E16" i="13"/>
  <c r="E17" i="13"/>
  <c r="E18" i="13"/>
  <c r="E19" i="13"/>
  <c r="E11" i="13"/>
  <c r="C11" i="13"/>
  <c r="C12" i="13"/>
  <c r="C13" i="13"/>
  <c r="C14" i="13"/>
  <c r="C15" i="13"/>
  <c r="C16" i="13"/>
  <c r="C17" i="13"/>
  <c r="C18" i="13"/>
  <c r="K20" i="12"/>
  <c r="K15" i="12"/>
  <c r="K16" i="12"/>
  <c r="K14" i="12"/>
  <c r="K11" i="12"/>
  <c r="K12" i="12"/>
  <c r="K10" i="12"/>
  <c r="J15" i="12"/>
  <c r="J16" i="12"/>
  <c r="J14" i="12"/>
  <c r="J11" i="12"/>
  <c r="J12" i="12"/>
  <c r="J10" i="12"/>
  <c r="J7" i="12"/>
  <c r="J8" i="12"/>
  <c r="J6" i="12"/>
  <c r="K7" i="12"/>
  <c r="K8" i="12"/>
  <c r="K6" i="12"/>
  <c r="H15" i="12"/>
  <c r="H16" i="12"/>
  <c r="H14" i="12"/>
  <c r="H11" i="12"/>
  <c r="H12" i="12"/>
  <c r="H10" i="12"/>
  <c r="H7" i="12"/>
  <c r="H8" i="12"/>
  <c r="H6" i="12"/>
  <c r="C19" i="11"/>
  <c r="C18" i="11"/>
  <c r="E19" i="11"/>
  <c r="E18" i="11"/>
  <c r="G18" i="12"/>
  <c r="G2" i="12"/>
  <c r="C60" i="9" l="1"/>
  <c r="F47" i="9"/>
  <c r="F44" i="9"/>
  <c r="F42" i="9"/>
  <c r="F40" i="9"/>
  <c r="I8" i="9" a="1"/>
  <c r="I8" i="9" s="1"/>
  <c r="I9" i="9" a="1"/>
  <c r="I9" i="9" s="1"/>
  <c r="I7" i="9" a="1"/>
  <c r="I7" i="9" s="1"/>
  <c r="I4" i="9" a="1"/>
  <c r="I4" i="9"/>
  <c r="I5" i="9" a="1"/>
  <c r="I5" i="9" s="1"/>
  <c r="I3" i="9" a="1"/>
  <c r="I3" i="9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" i="9"/>
  <c r="H63" i="8"/>
  <c r="H62" i="8"/>
  <c r="G63" i="8"/>
  <c r="G62" i="8"/>
  <c r="H61" i="8"/>
  <c r="H60" i="8"/>
  <c r="G61" i="8"/>
  <c r="G60" i="8"/>
  <c r="H43" i="7"/>
  <c r="H40" i="7"/>
  <c r="G43" i="7"/>
  <c r="H41" i="7"/>
  <c r="H42" i="7"/>
  <c r="G40" i="7"/>
  <c r="G41" i="7"/>
  <c r="G42" i="7"/>
  <c r="H56" i="8"/>
  <c r="G56" i="8"/>
  <c r="C56" i="8"/>
  <c r="D56" i="8"/>
  <c r="E56" i="8"/>
  <c r="F56" i="8"/>
  <c r="I43" i="8"/>
  <c r="I44" i="8"/>
  <c r="I45" i="8"/>
  <c r="I42" i="8"/>
  <c r="H43" i="8"/>
  <c r="H44" i="8"/>
  <c r="H45" i="8"/>
  <c r="H42" i="8"/>
  <c r="E43" i="8"/>
  <c r="E44" i="8"/>
  <c r="E45" i="8"/>
  <c r="E42" i="8"/>
  <c r="E37" i="8"/>
  <c r="E38" i="8"/>
  <c r="E39" i="8"/>
  <c r="E36" i="8"/>
  <c r="E31" i="8"/>
  <c r="E32" i="8"/>
  <c r="E33" i="8"/>
  <c r="E34" i="8"/>
  <c r="E27" i="8"/>
  <c r="E28" i="8"/>
  <c r="E29" i="8"/>
  <c r="E26" i="8"/>
  <c r="F22" i="8"/>
  <c r="F23" i="8"/>
  <c r="F24" i="8"/>
  <c r="F21" i="8"/>
  <c r="E24" i="8"/>
  <c r="E23" i="8"/>
  <c r="J12" i="8"/>
  <c r="I15" i="8"/>
  <c r="I14" i="8"/>
  <c r="I13" i="8"/>
  <c r="I12" i="8"/>
  <c r="I9" i="8"/>
  <c r="I8" i="8"/>
  <c r="I7" i="8"/>
  <c r="I5" i="8"/>
  <c r="H5" i="8"/>
  <c r="G5" i="8"/>
  <c r="H23" i="10" l="1"/>
  <c r="J62" i="8"/>
  <c r="I48" i="8"/>
  <c r="E22" i="8"/>
  <c r="E21" i="8"/>
  <c r="H39" i="7"/>
  <c r="G39" i="7"/>
  <c r="E29" i="7"/>
  <c r="E28" i="7"/>
  <c r="E27" i="7"/>
  <c r="D29" i="7"/>
  <c r="D28" i="7"/>
  <c r="D27" i="7"/>
  <c r="G16" i="7"/>
  <c r="G15" i="7"/>
  <c r="F16" i="7"/>
  <c r="D15" i="7"/>
  <c r="E15" i="7" s="1"/>
  <c r="E16" i="7"/>
  <c r="D16" i="7"/>
  <c r="D17" i="7"/>
  <c r="F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C16" i="7"/>
  <c r="C17" i="7"/>
  <c r="C18" i="7"/>
  <c r="C19" i="7"/>
  <c r="C20" i="7"/>
  <c r="C21" i="7"/>
  <c r="C22" i="7"/>
  <c r="C23" i="7"/>
  <c r="C15" i="7"/>
  <c r="H4" i="7"/>
  <c r="H5" i="7"/>
  <c r="H6" i="7"/>
  <c r="H7" i="7"/>
  <c r="H8" i="7"/>
  <c r="H9" i="7"/>
  <c r="H10" i="7"/>
  <c r="H3" i="7"/>
  <c r="H2" i="7"/>
  <c r="G4" i="7"/>
  <c r="G5" i="7"/>
  <c r="G6" i="7"/>
  <c r="G7" i="7"/>
  <c r="G8" i="7"/>
  <c r="G9" i="7"/>
  <c r="G10" i="7"/>
  <c r="G3" i="7"/>
  <c r="G2" i="7"/>
  <c r="F4" i="7"/>
  <c r="F5" i="7"/>
  <c r="F6" i="7"/>
  <c r="F7" i="7"/>
  <c r="F8" i="7"/>
  <c r="F9" i="7"/>
  <c r="F10" i="7"/>
  <c r="F3" i="7"/>
  <c r="F2" i="7"/>
  <c r="D3" i="7"/>
  <c r="D4" i="7"/>
  <c r="D5" i="7"/>
  <c r="D6" i="7"/>
  <c r="D7" i="7"/>
  <c r="D8" i="7"/>
  <c r="D9" i="7"/>
  <c r="D10" i="7"/>
  <c r="D2" i="7"/>
  <c r="C3" i="7"/>
  <c r="E3" i="7" s="1"/>
  <c r="C4" i="7"/>
  <c r="E4" i="7" s="1"/>
  <c r="C5" i="7"/>
  <c r="E5" i="7" s="1"/>
  <c r="C6" i="7"/>
  <c r="E6" i="7" s="1"/>
  <c r="C7" i="7"/>
  <c r="E7" i="7" s="1"/>
  <c r="C8" i="7"/>
  <c r="E8" i="7" s="1"/>
  <c r="C9" i="7"/>
  <c r="E9" i="7" s="1"/>
  <c r="C10" i="7"/>
  <c r="E10" i="7" s="1"/>
  <c r="C2" i="7"/>
  <c r="E2" i="7" s="1"/>
  <c r="G24" i="6"/>
  <c r="G25" i="6"/>
  <c r="G26" i="6"/>
  <c r="G23" i="6"/>
  <c r="F24" i="6"/>
  <c r="F25" i="6"/>
  <c r="F26" i="6"/>
  <c r="F2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3" i="6"/>
  <c r="G5" i="5"/>
  <c r="C23" i="5"/>
  <c r="G23" i="5"/>
  <c r="G22" i="5"/>
  <c r="G21" i="5"/>
  <c r="G20" i="5"/>
  <c r="G19" i="5"/>
  <c r="G17" i="5"/>
  <c r="G14" i="5"/>
  <c r="G13" i="5"/>
  <c r="G9" i="5"/>
  <c r="G7" i="5"/>
  <c r="G4" i="5"/>
  <c r="C26" i="5"/>
  <c r="C30" i="5"/>
  <c r="C29" i="5"/>
  <c r="C28" i="5"/>
  <c r="C27" i="5"/>
  <c r="C25" i="5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17" i="7" l="1"/>
  <c r="E17" i="7"/>
  <c r="F15" i="7"/>
  <c r="F48" i="8"/>
  <c r="F49" i="8"/>
  <c r="F4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<sst xmlns="http://schemas.openxmlformats.org/spreadsheetml/2006/main" count="1009" uniqueCount="324">
  <si>
    <t>Excel in Data Analytics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</si>
  <si>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</si>
  <si>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</si>
  <si>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</si>
  <si>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</si>
  <si>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</si>
  <si>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</si>
  <si>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</si>
  <si>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</si>
  <si>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</si>
  <si>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</si>
  <si>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</si>
  <si>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</si>
  <si>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</si>
  <si>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</si>
  <si>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</si>
  <si>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</si>
  <si>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</si>
  <si>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</si>
  <si>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</si>
  <si>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Multiples of 10</t>
  </si>
  <si>
    <t>Multiples of 3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</si>
  <si>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</si>
  <si>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</si>
  <si>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</si>
  <si>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</si>
  <si>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</si>
  <si>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</si>
  <si>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</si>
  <si>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</si>
  <si>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</si>
  <si>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</si>
  <si>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</si>
  <si>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</t>
  </si>
  <si>
    <t>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</si>
  <si>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</si>
  <si>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</si>
  <si>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</si>
  <si>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</si>
  <si>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</si>
  <si>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</si>
  <si>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</si>
  <si>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</si>
  <si>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</si>
  <si>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</si>
  <si>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</si>
  <si>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</si>
  <si>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NISHTHA</t>
  </si>
  <si>
    <t>PW Excel</t>
  </si>
  <si>
    <t>Actions - 55</t>
  </si>
  <si>
    <t>EXCEL</t>
  </si>
  <si>
    <t>PW</t>
  </si>
  <si>
    <t>MS OFFICE</t>
  </si>
  <si>
    <t>M365</t>
  </si>
  <si>
    <t>TEXT DATA TYPE</t>
  </si>
  <si>
    <t>esiofjsdk gnvskdlgvsldknb skdnbslkdng sknbsmmbl;dfbmkldnlsdmv</t>
  </si>
  <si>
    <t>DATA ANALYTICS</t>
  </si>
  <si>
    <t>Abhijit</t>
  </si>
  <si>
    <t>Manisha</t>
  </si>
  <si>
    <t>Divya</t>
  </si>
  <si>
    <t>Khushi</t>
  </si>
  <si>
    <t>Vishal</t>
  </si>
  <si>
    <t>Manan</t>
  </si>
  <si>
    <t>LOW TO HIGH</t>
  </si>
  <si>
    <t>HIGH TO LOW</t>
  </si>
  <si>
    <t>Items</t>
  </si>
  <si>
    <t>Prices</t>
  </si>
  <si>
    <t>Dates</t>
  </si>
  <si>
    <t>Regions</t>
  </si>
  <si>
    <t>Sum, Average, Min, Max, Product</t>
  </si>
  <si>
    <t>Beauty products</t>
  </si>
  <si>
    <t>South</t>
  </si>
  <si>
    <t>Mobile Accessories</t>
  </si>
  <si>
    <t>East</t>
  </si>
  <si>
    <t>Sum of prices till C9</t>
  </si>
  <si>
    <t>Home décor</t>
  </si>
  <si>
    <t>Kitchen ware</t>
  </si>
  <si>
    <t>Smart watch</t>
  </si>
  <si>
    <t>West</t>
  </si>
  <si>
    <t>Sum of all prices</t>
  </si>
  <si>
    <t>Baby products</t>
  </si>
  <si>
    <t>North</t>
  </si>
  <si>
    <t>PRODUCT of prices till C9</t>
  </si>
  <si>
    <t>Jewellery</t>
  </si>
  <si>
    <t>Perfumes</t>
  </si>
  <si>
    <t>Personal care</t>
  </si>
  <si>
    <t>Wrist Watch</t>
  </si>
  <si>
    <t>Subtraction</t>
  </si>
  <si>
    <t>Bass Headphones</t>
  </si>
  <si>
    <t>Pet supplies</t>
  </si>
  <si>
    <t>Health &amp; wellness</t>
  </si>
  <si>
    <t>Beverages</t>
  </si>
  <si>
    <t>Average</t>
  </si>
  <si>
    <t>Books</t>
  </si>
  <si>
    <t>Min</t>
  </si>
  <si>
    <t>Max</t>
  </si>
  <si>
    <t>*$^</t>
  </si>
  <si>
    <t>Count</t>
  </si>
  <si>
    <t>Counta</t>
  </si>
  <si>
    <t>Sum of all prices (using autosum function)</t>
  </si>
  <si>
    <t>Countblank</t>
  </si>
  <si>
    <t>S. No.</t>
  </si>
  <si>
    <t>Student Names</t>
  </si>
  <si>
    <t>Science</t>
  </si>
  <si>
    <t>Mathematics</t>
  </si>
  <si>
    <t>Social Studies</t>
  </si>
  <si>
    <t>Total Marks</t>
  </si>
  <si>
    <t>Max. Marks</t>
  </si>
  <si>
    <t>Percentage (data format)</t>
  </si>
  <si>
    <t>Percentage</t>
  </si>
  <si>
    <t>Arshad</t>
  </si>
  <si>
    <t>Amina</t>
  </si>
  <si>
    <t>Chetan</t>
  </si>
  <si>
    <t>Chanchal</t>
  </si>
  <si>
    <t>Erina</t>
  </si>
  <si>
    <t>Deepak</t>
  </si>
  <si>
    <t>Deepti</t>
  </si>
  <si>
    <t>Harshad</t>
  </si>
  <si>
    <t>Jane</t>
  </si>
  <si>
    <t>Imli</t>
  </si>
  <si>
    <t>Keshav</t>
  </si>
  <si>
    <t>Kajal</t>
  </si>
  <si>
    <t>Kriti</t>
  </si>
  <si>
    <t>Naman</t>
  </si>
  <si>
    <t>5000+6000+7000+8000+9000</t>
  </si>
  <si>
    <t>B25+B26+B27+B28+B29</t>
  </si>
  <si>
    <t>FORMULAS</t>
  </si>
  <si>
    <t>B26-B27</t>
  </si>
  <si>
    <t>B26/B25</t>
  </si>
  <si>
    <t>B25*B26</t>
  </si>
  <si>
    <t>B25*B26*B28</t>
  </si>
  <si>
    <t>Formula Bar / Background</t>
  </si>
  <si>
    <t>NAMES</t>
  </si>
  <si>
    <t>UPPER</t>
  </si>
  <si>
    <t>LOWER</t>
  </si>
  <si>
    <t>PROPER</t>
  </si>
  <si>
    <t>LEFT</t>
  </si>
  <si>
    <t>RIGHT</t>
  </si>
  <si>
    <t>MID</t>
  </si>
  <si>
    <t>Ananya Shroff</t>
  </si>
  <si>
    <t>Arohi Sharma</t>
  </si>
  <si>
    <t>Mohandas Karamchand Gandhi</t>
  </si>
  <si>
    <t>Milind Kumar Kalra</t>
  </si>
  <si>
    <t>Anshu Poonawala</t>
  </si>
  <si>
    <t>Rahul Singh Sharma</t>
  </si>
  <si>
    <t>Neil Armstrong</t>
  </si>
  <si>
    <t>Avnish Agrawal</t>
  </si>
  <si>
    <t>Shashank Khan</t>
  </si>
  <si>
    <t>LENGTH</t>
  </si>
  <si>
    <t>TRIM</t>
  </si>
  <si>
    <t>FIND</t>
  </si>
  <si>
    <t>SEARCH</t>
  </si>
  <si>
    <t>Ananya     Pandey</t>
  </si>
  <si>
    <t xml:space="preserve">       Arohi Sharma</t>
  </si>
  <si>
    <t>Mohandas    Karamchand G    andhi</t>
  </si>
  <si>
    <t xml:space="preserve">           Milind     Kalra</t>
  </si>
  <si>
    <t xml:space="preserve">Anshu          Poonawala      </t>
  </si>
  <si>
    <t xml:space="preserve">Rahul Singh Sharma      </t>
  </si>
  <si>
    <t xml:space="preserve">  Neil   Armstrong</t>
  </si>
  <si>
    <t xml:space="preserve">     Shashank Khan</t>
  </si>
  <si>
    <t>SUBSTITUTE</t>
  </si>
  <si>
    <t>REPLACE</t>
  </si>
  <si>
    <t>Ananya Pandey</t>
  </si>
  <si>
    <t>Batty bought a bit of butter</t>
  </si>
  <si>
    <t>abc</t>
  </si>
  <si>
    <t>xyz</t>
  </si>
  <si>
    <t>def</t>
  </si>
  <si>
    <t>uvw</t>
  </si>
  <si>
    <t>Multiply By</t>
  </si>
  <si>
    <t>Constant</t>
  </si>
  <si>
    <t>FUNCTIONS</t>
  </si>
  <si>
    <t>Today</t>
  </si>
  <si>
    <t>Now</t>
  </si>
  <si>
    <t>Y</t>
  </si>
  <si>
    <t>Date</t>
  </si>
  <si>
    <t>Current date</t>
  </si>
  <si>
    <t>Current time</t>
  </si>
  <si>
    <t>DATE</t>
  </si>
  <si>
    <t>Day, Month, Year</t>
  </si>
  <si>
    <t>Add/Subtract days</t>
  </si>
  <si>
    <t>Add/Subtract months</t>
  </si>
  <si>
    <t>Day</t>
  </si>
  <si>
    <t>Dates to days</t>
  </si>
  <si>
    <t>month</t>
  </si>
  <si>
    <t>Edate</t>
  </si>
  <si>
    <t>Year</t>
  </si>
  <si>
    <t>EOMonth</t>
  </si>
  <si>
    <t>Weekday</t>
  </si>
  <si>
    <t>Start date</t>
  </si>
  <si>
    <t>End date</t>
  </si>
  <si>
    <t>No. of Months</t>
  </si>
  <si>
    <t>No. of Days</t>
  </si>
  <si>
    <t>Weeknum</t>
  </si>
  <si>
    <t>Days</t>
  </si>
  <si>
    <t>Datedif</t>
  </si>
  <si>
    <t>Calculate age</t>
  </si>
  <si>
    <t>Networkdays</t>
  </si>
  <si>
    <t>Networkdays.intl</t>
  </si>
  <si>
    <t>Months</t>
  </si>
  <si>
    <t>DATES</t>
  </si>
  <si>
    <t>DAY Names</t>
  </si>
  <si>
    <t>Edate (add/subtract)</t>
  </si>
  <si>
    <t>Dates to Days</t>
  </si>
  <si>
    <t>Last day / date of the month</t>
  </si>
  <si>
    <t>EOMONTH</t>
  </si>
  <si>
    <t>Which day of the week ?</t>
  </si>
  <si>
    <t>Which week number in that year?</t>
  </si>
  <si>
    <t>Months' Difference</t>
  </si>
  <si>
    <t>Days' Difference</t>
  </si>
  <si>
    <t>Years' Difference</t>
  </si>
  <si>
    <t>DOB</t>
  </si>
  <si>
    <t>Years</t>
  </si>
  <si>
    <t>AGE</t>
  </si>
  <si>
    <t>TODAY</t>
  </si>
  <si>
    <t>Datedifference</t>
  </si>
  <si>
    <t>HOMEWORK</t>
  </si>
  <si>
    <t>Units</t>
  </si>
  <si>
    <t>MD</t>
  </si>
  <si>
    <t>YM</t>
  </si>
  <si>
    <t>YD</t>
  </si>
  <si>
    <t>Answer</t>
  </si>
  <si>
    <t>Overall difference in years</t>
  </si>
  <si>
    <t>Overall difference in months</t>
  </si>
  <si>
    <t>Without Holidays</t>
  </si>
  <si>
    <t>With Holidays</t>
  </si>
  <si>
    <t>Overall difference in days</t>
  </si>
  <si>
    <t>Exact difference in days, ignores months and years</t>
  </si>
  <si>
    <t>For just one week off, ex. - Sunday Only</t>
  </si>
  <si>
    <t>Exact difference in months, ignores days and years</t>
  </si>
  <si>
    <t>Exact difference in days, ignores years</t>
  </si>
  <si>
    <t>Republic day</t>
  </si>
  <si>
    <t>&lt;-- Does not work the same for foreign countries</t>
  </si>
  <si>
    <t>Washington's birthday</t>
  </si>
  <si>
    <t>National Holidays - USA</t>
  </si>
  <si>
    <t>Independence Day</t>
  </si>
  <si>
    <t>Gandhi Jayanti</t>
  </si>
  <si>
    <t>Labor day</t>
  </si>
  <si>
    <t>Names</t>
  </si>
  <si>
    <t>Total Scores</t>
  </si>
  <si>
    <t>RESULT</t>
  </si>
  <si>
    <t>Criteria - Scores &gt;= 180, Excellent</t>
  </si>
  <si>
    <t>2 conditions</t>
  </si>
  <si>
    <t>Ifs function</t>
  </si>
  <si>
    <t>3 conditions</t>
  </si>
  <si>
    <t>4 conditions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</si>
  <si>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</si>
  <si>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</si>
  <si>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</si>
  <si>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</si>
  <si>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</si>
  <si>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</si>
  <si>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</si>
  <si>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</si>
  <si>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</si>
  <si>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</si>
  <si>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</si>
  <si>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AB</t>
  </si>
  <si>
    <t>BC</t>
  </si>
  <si>
    <t>CD</t>
  </si>
  <si>
    <t>DE</t>
  </si>
  <si>
    <t>EF</t>
  </si>
  <si>
    <t>FG</t>
  </si>
  <si>
    <t>GH</t>
  </si>
  <si>
    <t>SUMIF</t>
  </si>
  <si>
    <t>AVERAGEIF</t>
  </si>
  <si>
    <t>TOTAL</t>
  </si>
  <si>
    <t>Days added / subtracted</t>
  </si>
  <si>
    <t>Add / Subtract Months</t>
  </si>
  <si>
    <t>CONCATENATE (with spaces)</t>
  </si>
  <si>
    <t>CONCATENATE (with spaces and symbols)</t>
  </si>
  <si>
    <t>National Holidays - INDIA</t>
  </si>
  <si>
    <t>Total</t>
  </si>
  <si>
    <t>CRITERIA</t>
  </si>
  <si>
    <t>Scores &gt; 70</t>
  </si>
  <si>
    <t>Condition 1</t>
  </si>
  <si>
    <t>Condition 2</t>
  </si>
  <si>
    <t>Condition 3</t>
  </si>
  <si>
    <t>OR - Either this or that</t>
  </si>
  <si>
    <t>AND - Both this and that</t>
  </si>
  <si>
    <t>XOR - TRUE FALSE depends on the no. of arguments</t>
  </si>
  <si>
    <t>OR function</t>
  </si>
  <si>
    <t>Student A</t>
  </si>
  <si>
    <t>AND function</t>
  </si>
  <si>
    <t>Student C</t>
  </si>
  <si>
    <t>Student B</t>
  </si>
  <si>
    <t>Student D</t>
  </si>
  <si>
    <t>If even number of conditions are meeting the set criteria, the answer will be FALSE !</t>
  </si>
  <si>
    <t>If odd number of conditions are meeting the set criteria, the answer will be TRUE !</t>
  </si>
  <si>
    <t>NOT</t>
  </si>
  <si>
    <t>The exact opposite</t>
  </si>
  <si>
    <t>STUDENT NAMES</t>
  </si>
  <si>
    <t>Logical functions with IF</t>
  </si>
  <si>
    <t>OR</t>
  </si>
  <si>
    <t>AND</t>
  </si>
  <si>
    <t>XOR</t>
  </si>
  <si>
    <t>LOGICAL TESTS</t>
  </si>
  <si>
    <t>Skincare</t>
  </si>
  <si>
    <t>Real-world use case of XOR Function</t>
  </si>
  <si>
    <t>Bonus for an employee to be decided on the basis of EITHER the Beverages OR the Skincare Products he/she has sold and the sale has been &gt; 1000 ; but NOT BOTH.</t>
  </si>
  <si>
    <t>Criteria - Sale &gt;1000</t>
  </si>
  <si>
    <t>Region</t>
  </si>
  <si>
    <t>Footwear</t>
  </si>
  <si>
    <t>Mobile</t>
  </si>
  <si>
    <t>Smartwatch</t>
  </si>
  <si>
    <t>Beard trimmer</t>
  </si>
  <si>
    <t>Deodarant</t>
  </si>
  <si>
    <t>Shaving cream</t>
  </si>
  <si>
    <t>Wrist watch</t>
  </si>
  <si>
    <t>Price</t>
  </si>
  <si>
    <t>Lookup values</t>
  </si>
  <si>
    <t>Earbuds</t>
  </si>
  <si>
    <t>Jackets</t>
  </si>
  <si>
    <t>Price, using only the Array</t>
  </si>
  <si>
    <t>Price (with lookup and result vectors)</t>
  </si>
  <si>
    <t>Price (using only the arrays)</t>
  </si>
  <si>
    <t>Region (with lookup and result vectors)</t>
  </si>
  <si>
    <t>Date (using only the arrays)</t>
  </si>
  <si>
    <t>Bass headphones</t>
  </si>
  <si>
    <t>Homework</t>
  </si>
  <si>
    <t>CRITERIA - score &gt;=50 in Science, Math and / or Social Studies</t>
  </si>
  <si>
    <t>REGION</t>
  </si>
  <si>
    <t>S.NO</t>
  </si>
  <si>
    <t>Salesperson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</si>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</sst>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₹&quot;\ #,##0"/>
    <numFmt numFmtId="165" formatCode="0.0000"/>
    <numFmt numFmtId="166" formatCode="[$-F800]dddd\,\ mmmm\ dd\,\ yyyy"/>
    <numFmt numFmtId="167" formatCode="[$-14009]yyyy/mm/dd;@"/>
    <numFmt numFmtId="168" formatCode="&quot;₹&quot;\ #,##0.00"/>
    <numFmt numFmtId="169" formatCode="&quot;₹&quot;\ #,##0.000"/>
    <numFmt numFmtId="170" formatCode="[$-10409]hh:mm:ss\ AM/PM"/>
    <numFmt numFmtId="171" formatCode="[$-14009]dd/mm/yyyy"/>
    <numFmt numFmtId="172" formatCode="dddd"/>
    <numFmt numFmtId="173" formatCode="dd\/mm\/yyyy"/>
  </numFmts>
  <fonts count="8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Bookman Old Style"/>
      <family val="1"/>
    </font>
    <font>
      <sz val="16"/>
      <color theme="1"/>
      <name val="Aptos Narrow"/>
      <family val="2"/>
      <scheme val="minor"/>
    </font>
    <font>
      <b/>
      <i/>
      <u/>
      <sz val="14"/>
      <color theme="3" tint="0.249977111117893"/>
      <name val="Bookman Old Style"/>
      <family val="1"/>
    </font>
    <font>
      <b/>
      <i/>
      <u/>
      <sz val="14"/>
      <color theme="9" tint="-0.249977111117893"/>
      <name val="Bookman Old Style"/>
      <family val="1"/>
    </font>
    <font>
      <b/>
      <sz val="18"/>
      <color theme="9" tint="-0.249977111117893"/>
      <name val="Algerian"/>
      <family val="5"/>
    </font>
    <font>
      <sz val="11"/>
      <color theme="1"/>
      <name val="Aptos Narrow"/>
      <family val="2"/>
      <scheme val="minor"/>
    </font>
    <font>
      <b/>
      <i/>
      <sz val="12"/>
      <color theme="1"/>
      <name val="Amasis MT Pro Medium"/>
      <family val="1"/>
    </font>
    <font>
      <sz val="14"/>
      <color theme="1"/>
      <name val="Aptos Narrow"/>
      <family val="2"/>
      <scheme val="minor"/>
    </font>
    <font>
      <b/>
      <i/>
      <u/>
      <sz val="20"/>
      <color theme="6" tint="-0.249977111117893"/>
      <name val="Algerian"/>
      <family val="5"/>
    </font>
    <font>
      <b/>
      <sz val="14"/>
      <color theme="1"/>
      <name val="Aptos Narrow"/>
      <family val="2"/>
      <scheme val="minor"/>
    </font>
    <font>
      <b/>
      <sz val="14"/>
      <color theme="1"/>
      <name val="Cambria Math"/>
      <family val="1"/>
    </font>
    <font>
      <b/>
      <sz val="16"/>
      <color theme="1"/>
      <name val="Aptos Narrow"/>
      <family val="2"/>
      <scheme val="minor"/>
    </font>
    <font>
      <sz val="14"/>
      <color theme="1"/>
      <name val="Amasis MT Pro"/>
      <family val="1"/>
    </font>
    <font>
      <b/>
      <sz val="14"/>
      <color theme="0"/>
      <name val="Amasis MT Pro"/>
      <family val="1"/>
    </font>
    <font>
      <b/>
      <sz val="14"/>
      <color theme="1"/>
      <name val="Amasis MT Pro"/>
      <family val="1"/>
    </font>
    <font>
      <sz val="12"/>
      <color theme="1"/>
      <name val="Aptos Narrow"/>
      <family val="2"/>
      <scheme val="minor"/>
    </font>
    <font>
      <b/>
      <u/>
      <sz val="12"/>
      <color theme="1"/>
      <name val="Book Antiqua"/>
      <family val="1"/>
    </font>
    <font>
      <sz val="12"/>
      <color theme="1"/>
      <name val="Book Antiqua"/>
      <family val="1"/>
    </font>
    <font>
      <b/>
      <u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0"/>
      <color rgb="FFFF0000"/>
      <name val="Bookman Old Style"/>
      <family val="1"/>
    </font>
    <font>
      <b/>
      <i/>
      <u/>
      <sz val="10"/>
      <color theme="1"/>
      <name val="Bookman Old Style"/>
      <family val="1"/>
    </font>
    <font>
      <b/>
      <u/>
      <sz val="10"/>
      <color rgb="FFC00000"/>
      <name val="Bookman Old Style"/>
      <family val="1"/>
    </font>
    <font>
      <b/>
      <i/>
      <sz val="10"/>
      <color rgb="FFC00000"/>
      <name val="Bookman Old Style"/>
      <family val="1"/>
    </font>
    <font>
      <b/>
      <u/>
      <sz val="10"/>
      <color theme="8" tint="-0.249977111117893"/>
      <name val="Algerian"/>
      <family val="5"/>
    </font>
    <font>
      <b/>
      <sz val="10"/>
      <color rgb="FFC00000"/>
      <name val="Bookman Old Style"/>
      <family val="1"/>
    </font>
    <font>
      <sz val="14"/>
      <color theme="1"/>
      <name val="Cambria"/>
      <family val="1"/>
    </font>
    <font>
      <b/>
      <i/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Amasis MT Pro"/>
      <family val="1"/>
    </font>
    <font>
      <b/>
      <i/>
      <u/>
      <sz val="12"/>
      <color theme="1"/>
      <name val="Amasis MT Pro"/>
      <family val="1"/>
    </font>
    <font>
      <sz val="12"/>
      <color theme="1"/>
      <name val="Amasis MT Pro"/>
      <family val="1"/>
    </font>
    <font>
      <sz val="12"/>
      <name val="Calibri"/>
      <family val="2"/>
    </font>
    <font>
      <b/>
      <u/>
      <sz val="12"/>
      <color theme="1"/>
      <name val="Amasis MT Pro"/>
      <family val="1"/>
    </font>
    <font>
      <b/>
      <u/>
      <sz val="12"/>
      <color theme="0"/>
      <name val="Amasis MT Pro"/>
      <family val="1"/>
    </font>
    <font>
      <b/>
      <sz val="12"/>
      <name val="Calibri"/>
      <family val="2"/>
    </font>
    <font>
      <b/>
      <u/>
      <sz val="16"/>
      <color rgb="FFFF0000"/>
      <name val="Amasis MT Pro"/>
      <family val="1"/>
    </font>
    <font>
      <b/>
      <u/>
      <sz val="14"/>
      <color theme="1"/>
      <name val="Amasis MT Pro"/>
      <family val="1"/>
    </font>
    <font>
      <b/>
      <i/>
      <u/>
      <sz val="14"/>
      <color rgb="FFFF0000"/>
      <name val="Amasis MT Pro"/>
      <family val="1"/>
    </font>
    <font>
      <sz val="12"/>
      <color theme="1"/>
      <name val="Bookman Old Style"/>
      <family val="1"/>
    </font>
    <font>
      <b/>
      <sz val="12"/>
      <color rgb="FFFF0000"/>
      <name val="Bookman Old Style"/>
      <family val="1"/>
    </font>
    <font>
      <b/>
      <u/>
      <sz val="14"/>
      <color theme="1"/>
      <name val="Bookman Old Style"/>
      <family val="1"/>
    </font>
    <font>
      <b/>
      <i/>
      <u/>
      <sz val="12"/>
      <color rgb="FFFF0000"/>
      <name val="Amasis MT Pro"/>
      <family val="1"/>
    </font>
    <font>
      <b/>
      <sz val="12"/>
      <color theme="1"/>
      <name val="Aptos Narrow"/>
      <family val="2"/>
      <scheme val="minor"/>
    </font>
    <font>
      <b/>
      <u/>
      <sz val="13"/>
      <color theme="1"/>
      <name val="Book Antiqua"/>
      <family val="1"/>
    </font>
    <font>
      <sz val="13"/>
      <color theme="1"/>
      <name val="Book Antiqua"/>
      <family val="1"/>
    </font>
    <font>
      <b/>
      <i/>
      <sz val="15"/>
      <color theme="1"/>
      <name val="Cambria"/>
      <family val="1"/>
    </font>
    <font>
      <sz val="15"/>
      <color theme="1"/>
      <name val="Cambria"/>
      <family val="1"/>
    </font>
    <font>
      <b/>
      <sz val="16"/>
      <color theme="1"/>
      <name val="Cambria"/>
      <family val="1"/>
    </font>
    <font>
      <b/>
      <sz val="20"/>
      <color rgb="FFC00000"/>
      <name val="Cambria"/>
      <family val="1"/>
    </font>
    <font>
      <b/>
      <sz val="19"/>
      <color rgb="FFC00000"/>
      <name val="Cambria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sz val="15"/>
      <color theme="1"/>
      <name val="Amasis MT Pro"/>
      <family val="1"/>
    </font>
    <font>
      <b/>
      <sz val="15"/>
      <color theme="1"/>
      <name val="Amasis MT Pro"/>
      <family val="1"/>
    </font>
    <font>
      <b/>
      <sz val="15"/>
      <name val="Calibri"/>
      <family val="2"/>
    </font>
    <font>
      <b/>
      <i/>
      <u/>
      <sz val="14"/>
      <color theme="1"/>
      <name val="Amasis MT Pro"/>
      <family val="1"/>
    </font>
    <font>
      <b/>
      <sz val="18"/>
      <color theme="1"/>
      <name val="Amasis MT Pro"/>
      <family val="1"/>
    </font>
    <font>
      <b/>
      <sz val="12"/>
      <color theme="1"/>
      <name val="Bookman Old Style"/>
      <family val="1"/>
    </font>
    <font>
      <sz val="18"/>
      <color theme="1"/>
      <name val="Aptos Narrow"/>
      <family val="2"/>
      <scheme val="minor"/>
    </font>
    <font>
      <sz val="16"/>
      <color theme="1"/>
      <name val="Algerian"/>
      <family val="5"/>
    </font>
    <font>
      <b/>
      <u/>
      <sz val="18"/>
      <color theme="3" tint="0.249977111117893"/>
      <name val="Algerian"/>
      <family val="5"/>
    </font>
    <font>
      <b/>
      <u/>
      <sz val="16"/>
      <color theme="0"/>
      <name val="Bookman Old Style"/>
      <family val="1"/>
    </font>
    <font>
      <b/>
      <i/>
      <u/>
      <sz val="14"/>
      <color theme="1"/>
      <name val="Aptos Narrow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Baskerville Old Face"/>
      <family val="1"/>
    </font>
    <font>
      <b/>
      <sz val="14"/>
      <color rgb="FFC00000"/>
      <name val="Aptos Narrow"/>
      <family val="2"/>
      <scheme val="minor"/>
    </font>
    <font>
      <sz val="11"/>
      <color theme="1"/>
      <name val="Comic Sans MS"/>
      <family val="4"/>
    </font>
    <font>
      <b/>
      <u/>
      <sz val="12"/>
      <color theme="0"/>
      <name val="Comic Sans MS"/>
      <family val="4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sz val="14"/>
      <color rgb="FF0C0C0C"/>
      <name val="Amasis MT Pro"/>
      <family val="1"/>
    </font>
    <font>
      <b/>
      <u/>
      <sz val="14"/>
      <color theme="0"/>
      <name val="Amasis MT Pro"/>
      <family val="1"/>
    </font>
    <font>
      <b/>
      <sz val="14"/>
      <color rgb="FF0C0C0C"/>
      <name val="Amasis MT Pro"/>
      <family val="1"/>
    </font>
    <font>
      <b/>
      <sz val="13"/>
      <color theme="1"/>
      <name val="Amasis MT Pro"/>
      <family val="1"/>
    </font>
    <font>
      <b/>
      <u/>
      <sz val="16"/>
      <color theme="1"/>
      <name val="Book Antiqua"/>
      <family val="1"/>
    </font>
    <font>
      <sz val="16"/>
      <color theme="0"/>
      <name val="Book Antiqua"/>
      <family val="1"/>
    </font>
    <font>
      <sz val="16"/>
      <color theme="1"/>
      <name val="Book Antiqua"/>
      <family val="1"/>
    </font>
    <font>
      <b/>
      <sz val="16"/>
      <color theme="1"/>
      <name val="Book Antiqua"/>
      <family val="1"/>
    </font>
    <font>
      <b/>
      <sz val="16"/>
      <color theme="0"/>
      <name val="Book Antiqua"/>
      <family val="1"/>
    </font>
    <font>
      <b/>
      <sz val="16"/>
      <name val="Book Antiqua"/>
      <family val="1"/>
    </font>
    <font>
      <b/>
      <i/>
      <u/>
      <sz val="20"/>
      <color theme="0"/>
      <name val="Book Antiqua"/>
      <family val="1"/>
    </font>
    <font>
      <b/>
      <u/>
      <sz val="18"/>
      <name val="Book Antiqua"/>
      <family val="1"/>
    </font>
    <font>
      <b/>
      <u/>
      <sz val="28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5" tint="0.59999389629810485"/>
        <bgColor rgb="FFC5E0B3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BE4D5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</cellStyleXfs>
  <cellXfs count="42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7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3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2" fillId="0" borderId="3" xfId="0" applyFont="1" applyBorder="1"/>
    <xf numFmtId="0" fontId="14" fillId="0" borderId="3" xfId="0" applyFont="1" applyBorder="1"/>
    <xf numFmtId="14" fontId="12" fillId="0" borderId="3" xfId="0" applyNumberFormat="1" applyFont="1" applyBorder="1"/>
    <xf numFmtId="49" fontId="12" fillId="0" borderId="3" xfId="0" applyNumberFormat="1" applyFont="1" applyBorder="1"/>
    <xf numFmtId="164" fontId="12" fillId="0" borderId="3" xfId="0" applyNumberFormat="1" applyFont="1" applyBorder="1"/>
    <xf numFmtId="165" fontId="12" fillId="0" borderId="3" xfId="0" applyNumberFormat="1" applyFont="1" applyBorder="1"/>
    <xf numFmtId="9" fontId="12" fillId="0" borderId="3" xfId="1" applyFont="1" applyBorder="1"/>
    <xf numFmtId="166" fontId="12" fillId="0" borderId="3" xfId="0" applyNumberFormat="1" applyFont="1" applyBorder="1"/>
    <xf numFmtId="167" fontId="12" fillId="0" borderId="3" xfId="0" applyNumberFormat="1" applyFont="1" applyBorder="1"/>
    <xf numFmtId="0" fontId="15" fillId="0" borderId="0" xfId="0" applyFont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9" fontId="17" fillId="0" borderId="4" xfId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16" fillId="7" borderId="3" xfId="0" applyNumberFormat="1" applyFont="1" applyFill="1" applyBorder="1" applyAlignment="1">
      <alignment horizontal="center" vertical="center"/>
    </xf>
    <xf numFmtId="14" fontId="14" fillId="0" borderId="3" xfId="0" applyNumberFormat="1" applyFont="1" applyBorder="1"/>
    <xf numFmtId="0" fontId="19" fillId="3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" fontId="20" fillId="0" borderId="1" xfId="3" applyNumberFormat="1" applyFont="1" applyBorder="1" applyAlignment="1">
      <alignment horizontal="center" vertical="center" wrapText="1"/>
    </xf>
    <xf numFmtId="2" fontId="2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8" borderId="1" xfId="2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7" borderId="1" xfId="2" applyFont="1" applyFill="1" applyBorder="1" applyAlignment="1">
      <alignment horizontal="center" vertical="center" wrapText="1"/>
    </xf>
    <xf numFmtId="168" fontId="22" fillId="8" borderId="1" xfId="2" applyNumberFormat="1" applyFont="1" applyFill="1" applyBorder="1" applyAlignment="1">
      <alignment horizontal="center" vertical="center" wrapText="1"/>
    </xf>
    <xf numFmtId="166" fontId="22" fillId="7" borderId="1" xfId="2" applyNumberFormat="1" applyFont="1" applyFill="1" applyBorder="1" applyAlignment="1">
      <alignment horizontal="center" vertical="center" wrapText="1"/>
    </xf>
    <xf numFmtId="164" fontId="24" fillId="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4" fontId="24" fillId="8" borderId="0" xfId="0" applyNumberFormat="1" applyFont="1" applyFill="1" applyAlignment="1">
      <alignment horizontal="center" vertical="center" wrapText="1"/>
    </xf>
    <xf numFmtId="164" fontId="24" fillId="7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168" fontId="22" fillId="7" borderId="1" xfId="2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 wrapText="1"/>
    </xf>
    <xf numFmtId="168" fontId="22" fillId="7" borderId="5" xfId="2" applyNumberFormat="1" applyFont="1" applyFill="1" applyBorder="1" applyAlignment="1">
      <alignment horizontal="center" vertical="center" wrapText="1"/>
    </xf>
    <xf numFmtId="0" fontId="22" fillId="7" borderId="7" xfId="2" applyFont="1" applyFill="1" applyBorder="1" applyAlignment="1">
      <alignment horizontal="center" vertical="center" wrapText="1"/>
    </xf>
    <xf numFmtId="0" fontId="22" fillId="7" borderId="8" xfId="2" applyFont="1" applyFill="1" applyBorder="1" applyAlignment="1">
      <alignment horizontal="center" vertical="center" wrapText="1"/>
    </xf>
    <xf numFmtId="166" fontId="22" fillId="7" borderId="2" xfId="2" applyNumberFormat="1" applyFont="1" applyFill="1" applyBorder="1" applyAlignment="1">
      <alignment horizontal="center" vertical="center" wrapText="1"/>
    </xf>
    <xf numFmtId="168" fontId="22" fillId="7" borderId="6" xfId="2" applyNumberFormat="1" applyFont="1" applyFill="1" applyBorder="1" applyAlignment="1">
      <alignment horizontal="center" vertical="center" wrapText="1"/>
    </xf>
    <xf numFmtId="166" fontId="22" fillId="7" borderId="5" xfId="2" applyNumberFormat="1" applyFont="1" applyFill="1" applyBorder="1" applyAlignment="1">
      <alignment horizontal="center" vertical="center" wrapText="1"/>
    </xf>
    <xf numFmtId="0" fontId="22" fillId="7" borderId="5" xfId="2" applyFont="1" applyFill="1" applyBorder="1" applyAlignment="1">
      <alignment horizontal="center" vertical="center" wrapText="1"/>
    </xf>
    <xf numFmtId="0" fontId="25" fillId="7" borderId="8" xfId="2" applyFont="1" applyFill="1" applyBorder="1" applyAlignment="1">
      <alignment horizontal="center" vertical="center" wrapText="1"/>
    </xf>
    <xf numFmtId="166" fontId="22" fillId="7" borderId="9" xfId="2" applyNumberFormat="1" applyFont="1" applyFill="1" applyBorder="1" applyAlignment="1">
      <alignment horizontal="center" vertical="center" wrapText="1"/>
    </xf>
    <xf numFmtId="0" fontId="22" fillId="7" borderId="10" xfId="2" applyFont="1" applyFill="1" applyBorder="1" applyAlignment="1">
      <alignment horizontal="center" vertical="center" wrapText="1"/>
    </xf>
    <xf numFmtId="166" fontId="22" fillId="7" borderId="10" xfId="2" applyNumberFormat="1" applyFont="1" applyFill="1" applyBorder="1" applyAlignment="1">
      <alignment horizontal="center" vertical="center" wrapText="1"/>
    </xf>
    <xf numFmtId="0" fontId="26" fillId="8" borderId="1" xfId="2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8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168" fontId="26" fillId="8" borderId="1" xfId="0" applyNumberFormat="1" applyFont="1" applyFill="1" applyBorder="1" applyAlignment="1">
      <alignment horizontal="center" vertical="center" wrapText="1"/>
    </xf>
    <xf numFmtId="0" fontId="32" fillId="9" borderId="1" xfId="4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center" vertical="center" wrapText="1"/>
    </xf>
    <xf numFmtId="0" fontId="32" fillId="9" borderId="6" xfId="4" applyFont="1" applyFill="1" applyBorder="1" applyAlignment="1">
      <alignment horizontal="center" vertical="center" wrapText="1"/>
    </xf>
    <xf numFmtId="0" fontId="31" fillId="10" borderId="1" xfId="4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20" fillId="0" borderId="1" xfId="1" applyFont="1" applyBorder="1" applyAlignment="1">
      <alignment horizontal="center" vertical="center" wrapText="1"/>
    </xf>
    <xf numFmtId="0" fontId="19" fillId="2" borderId="1" xfId="3" applyFont="1" applyFill="1" applyBorder="1" applyAlignment="1">
      <alignment horizontal="center" vertical="center" wrapText="1"/>
    </xf>
    <xf numFmtId="2" fontId="20" fillId="2" borderId="1" xfId="1" applyNumberFormat="1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left" vertical="center" wrapText="1"/>
    </xf>
    <xf numFmtId="0" fontId="31" fillId="0" borderId="0" xfId="4" applyFont="1" applyAlignment="1">
      <alignment horizontal="left" vertical="center" wrapText="1"/>
    </xf>
    <xf numFmtId="0" fontId="32" fillId="9" borderId="1" xfId="4" applyFont="1" applyFill="1" applyBorder="1" applyAlignment="1">
      <alignment horizontal="left" vertical="center" wrapText="1"/>
    </xf>
    <xf numFmtId="0" fontId="31" fillId="0" borderId="12" xfId="4" applyFont="1" applyBorder="1" applyAlignment="1">
      <alignment horizontal="left" vertical="center" wrapText="1"/>
    </xf>
    <xf numFmtId="0" fontId="31" fillId="10" borderId="1" xfId="4" applyFont="1" applyFill="1" applyBorder="1" applyAlignment="1">
      <alignment horizontal="left" vertical="center" wrapText="1"/>
    </xf>
    <xf numFmtId="0" fontId="33" fillId="0" borderId="1" xfId="4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4" fillId="2" borderId="1" xfId="5" applyFont="1" applyFill="1" applyBorder="1" applyAlignment="1">
      <alignment horizontal="center" vertical="center" wrapText="1"/>
    </xf>
    <xf numFmtId="14" fontId="34" fillId="0" borderId="0" xfId="5" applyNumberFormat="1" applyFont="1" applyAlignment="1">
      <alignment horizontal="center" vertical="center" wrapText="1"/>
    </xf>
    <xf numFmtId="0" fontId="34" fillId="0" borderId="0" xfId="5" applyFont="1" applyAlignment="1">
      <alignment horizontal="center" vertical="center" wrapText="1"/>
    </xf>
    <xf numFmtId="0" fontId="36" fillId="0" borderId="0" xfId="5" applyFont="1" applyAlignment="1">
      <alignment horizontal="center" vertical="center" wrapText="1"/>
    </xf>
    <xf numFmtId="0" fontId="36" fillId="0" borderId="13" xfId="5" applyFont="1" applyBorder="1" applyAlignment="1">
      <alignment horizontal="center" vertical="center" wrapText="1"/>
    </xf>
    <xf numFmtId="14" fontId="36" fillId="0" borderId="13" xfId="5" applyNumberFormat="1" applyFont="1" applyBorder="1" applyAlignment="1">
      <alignment horizontal="center" vertical="center" wrapText="1"/>
    </xf>
    <xf numFmtId="14" fontId="36" fillId="0" borderId="14" xfId="5" applyNumberFormat="1" applyFont="1" applyBorder="1" applyAlignment="1">
      <alignment horizontal="center" vertical="center" wrapText="1"/>
    </xf>
    <xf numFmtId="0" fontId="34" fillId="0" borderId="13" xfId="5" applyFont="1" applyBorder="1" applyAlignment="1">
      <alignment horizontal="center" vertical="center" wrapText="1"/>
    </xf>
    <xf numFmtId="0" fontId="34" fillId="0" borderId="14" xfId="5" applyFont="1" applyBorder="1" applyAlignment="1">
      <alignment horizontal="center" vertical="center" wrapText="1"/>
    </xf>
    <xf numFmtId="0" fontId="39" fillId="14" borderId="1" xfId="5" applyFont="1" applyFill="1" applyBorder="1" applyAlignment="1">
      <alignment horizontal="center" vertical="center" wrapText="1"/>
    </xf>
    <xf numFmtId="0" fontId="18" fillId="0" borderId="0" xfId="0" applyFont="1"/>
    <xf numFmtId="0" fontId="34" fillId="11" borderId="13" xfId="5" applyFont="1" applyFill="1" applyBorder="1" applyAlignment="1">
      <alignment horizontal="center" vertical="center" wrapText="1"/>
    </xf>
    <xf numFmtId="0" fontId="36" fillId="11" borderId="13" xfId="5" applyFont="1" applyFill="1" applyBorder="1" applyAlignment="1">
      <alignment horizontal="center" vertical="center" wrapText="1"/>
    </xf>
    <xf numFmtId="0" fontId="36" fillId="11" borderId="14" xfId="5" applyFont="1" applyFill="1" applyBorder="1" applyAlignment="1">
      <alignment horizontal="center" vertical="center" wrapText="1"/>
    </xf>
    <xf numFmtId="14" fontId="36" fillId="0" borderId="0" xfId="5" applyNumberFormat="1" applyFont="1" applyAlignment="1">
      <alignment horizontal="center" vertical="center" wrapText="1"/>
    </xf>
    <xf numFmtId="49" fontId="36" fillId="0" borderId="0" xfId="5" applyNumberFormat="1" applyFont="1" applyAlignment="1">
      <alignment horizontal="center" vertical="center" wrapText="1"/>
    </xf>
    <xf numFmtId="1" fontId="36" fillId="0" borderId="0" xfId="5" applyNumberFormat="1" applyFont="1" applyAlignment="1">
      <alignment horizontal="center" vertical="center" wrapText="1"/>
    </xf>
    <xf numFmtId="0" fontId="34" fillId="0" borderId="15" xfId="5" applyFont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14" fontId="36" fillId="0" borderId="15" xfId="5" applyNumberFormat="1" applyFont="1" applyBorder="1" applyAlignment="1">
      <alignment horizontal="center" vertical="center" wrapText="1"/>
    </xf>
    <xf numFmtId="170" fontId="36" fillId="0" borderId="14" xfId="5" applyNumberFormat="1" applyFont="1" applyBorder="1" applyAlignment="1">
      <alignment horizontal="center" vertical="center" wrapText="1"/>
    </xf>
    <xf numFmtId="14" fontId="36" fillId="0" borderId="1" xfId="5" applyNumberFormat="1" applyFont="1" applyBorder="1" applyAlignment="1">
      <alignment horizontal="center" vertical="center" wrapText="1"/>
    </xf>
    <xf numFmtId="22" fontId="36" fillId="0" borderId="1" xfId="5" applyNumberFormat="1" applyFont="1" applyBorder="1" applyAlignment="1">
      <alignment horizontal="center" vertical="center" wrapText="1"/>
    </xf>
    <xf numFmtId="171" fontId="36" fillId="0" borderId="13" xfId="5" applyNumberFormat="1" applyFont="1" applyBorder="1" applyAlignment="1">
      <alignment horizontal="center" vertical="center" wrapText="1"/>
    </xf>
    <xf numFmtId="1" fontId="36" fillId="0" borderId="13" xfId="5" applyNumberFormat="1" applyFont="1" applyBorder="1" applyAlignment="1">
      <alignment horizontal="center" vertical="center" wrapText="1"/>
    </xf>
    <xf numFmtId="0" fontId="34" fillId="8" borderId="1" xfId="5" applyFont="1" applyFill="1" applyBorder="1" applyAlignment="1">
      <alignment horizontal="center" vertical="center" wrapText="1"/>
    </xf>
    <xf numFmtId="0" fontId="34" fillId="8" borderId="17" xfId="5" applyFont="1" applyFill="1" applyBorder="1" applyAlignment="1">
      <alignment horizontal="center" vertical="center" wrapText="1"/>
    </xf>
    <xf numFmtId="0" fontId="34" fillId="8" borderId="18" xfId="5" applyFont="1" applyFill="1" applyBorder="1" applyAlignment="1">
      <alignment horizontal="center" vertical="center" wrapText="1"/>
    </xf>
    <xf numFmtId="0" fontId="34" fillId="8" borderId="19" xfId="5" applyFont="1" applyFill="1" applyBorder="1" applyAlignment="1">
      <alignment horizontal="center" vertical="center" wrapText="1"/>
    </xf>
    <xf numFmtId="0" fontId="36" fillId="0" borderId="20" xfId="5" applyFont="1" applyBorder="1" applyAlignment="1">
      <alignment horizontal="center" vertical="center" wrapText="1"/>
    </xf>
    <xf numFmtId="172" fontId="36" fillId="0" borderId="13" xfId="5" applyNumberFormat="1" applyFont="1" applyBorder="1" applyAlignment="1">
      <alignment horizontal="center" vertical="center" wrapText="1"/>
    </xf>
    <xf numFmtId="172" fontId="36" fillId="0" borderId="0" xfId="5" applyNumberFormat="1" applyFont="1" applyAlignment="1">
      <alignment horizontal="center" vertical="center" wrapText="1"/>
    </xf>
    <xf numFmtId="0" fontId="36" fillId="0" borderId="29" xfId="5" applyFont="1" applyBorder="1" applyAlignment="1">
      <alignment horizontal="center" vertical="center" wrapText="1"/>
    </xf>
    <xf numFmtId="0" fontId="38" fillId="0" borderId="1" xfId="5" applyFont="1" applyBorder="1" applyAlignment="1">
      <alignment horizontal="center" vertical="center" wrapText="1"/>
    </xf>
    <xf numFmtId="0" fontId="36" fillId="0" borderId="1" xfId="5" applyFont="1" applyBorder="1" applyAlignment="1">
      <alignment horizontal="center" vertical="center" wrapText="1"/>
    </xf>
    <xf numFmtId="171" fontId="36" fillId="0" borderId="1" xfId="5" applyNumberFormat="1" applyFont="1" applyBorder="1" applyAlignment="1">
      <alignment horizontal="center" vertical="center" wrapText="1"/>
    </xf>
    <xf numFmtId="0" fontId="34" fillId="12" borderId="13" xfId="5" applyFont="1" applyFill="1" applyBorder="1" applyAlignment="1">
      <alignment horizontal="center" vertical="center" wrapText="1"/>
    </xf>
    <xf numFmtId="0" fontId="36" fillId="0" borderId="14" xfId="5" applyFont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14" fontId="34" fillId="0" borderId="13" xfId="5" applyNumberFormat="1" applyFont="1" applyBorder="1" applyAlignment="1">
      <alignment horizontal="center" vertical="center" wrapText="1"/>
    </xf>
    <xf numFmtId="14" fontId="34" fillId="13" borderId="1" xfId="5" applyNumberFormat="1" applyFont="1" applyFill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173" fontId="36" fillId="2" borderId="1" xfId="5" applyNumberFormat="1" applyFont="1" applyFill="1" applyBorder="1" applyAlignment="1">
      <alignment horizontal="center" vertical="center" wrapText="1"/>
    </xf>
    <xf numFmtId="0" fontId="36" fillId="2" borderId="1" xfId="5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36" fillId="15" borderId="13" xfId="5" applyFont="1" applyFill="1" applyBorder="1" applyAlignment="1">
      <alignment horizontal="center" vertical="center" wrapText="1"/>
    </xf>
    <xf numFmtId="173" fontId="36" fillId="16" borderId="1" xfId="5" applyNumberFormat="1" applyFont="1" applyFill="1" applyBorder="1" applyAlignment="1">
      <alignment horizontal="center" vertical="center" wrapText="1"/>
    </xf>
    <xf numFmtId="0" fontId="36" fillId="16" borderId="1" xfId="5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42" fillId="8" borderId="1" xfId="0" applyFont="1" applyFill="1" applyBorder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42" fillId="7" borderId="0" xfId="0" applyFont="1" applyFill="1" applyAlignment="1">
      <alignment vertical="center" wrapText="1"/>
    </xf>
    <xf numFmtId="0" fontId="44" fillId="7" borderId="1" xfId="2" applyFont="1" applyFill="1" applyBorder="1" applyAlignment="1">
      <alignment horizontal="center" vertical="center" wrapText="1"/>
    </xf>
    <xf numFmtId="168" fontId="44" fillId="8" borderId="1" xfId="2" applyNumberFormat="1" applyFont="1" applyFill="1" applyBorder="1" applyAlignment="1">
      <alignment horizontal="center" vertical="center" wrapText="1"/>
    </xf>
    <xf numFmtId="166" fontId="44" fillId="7" borderId="1" xfId="2" applyNumberFormat="1" applyFont="1" applyFill="1" applyBorder="1" applyAlignment="1">
      <alignment horizontal="center" vertical="center" wrapText="1"/>
    </xf>
    <xf numFmtId="168" fontId="44" fillId="7" borderId="1" xfId="2" applyNumberFormat="1" applyFont="1" applyFill="1" applyBorder="1" applyAlignment="1">
      <alignment horizontal="center" vertical="center" wrapText="1"/>
    </xf>
    <xf numFmtId="168" fontId="44" fillId="7" borderId="5" xfId="2" applyNumberFormat="1" applyFont="1" applyFill="1" applyBorder="1" applyAlignment="1">
      <alignment horizontal="center" vertical="center" wrapText="1"/>
    </xf>
    <xf numFmtId="0" fontId="44" fillId="7" borderId="7" xfId="2" applyFont="1" applyFill="1" applyBorder="1" applyAlignment="1">
      <alignment horizontal="center" vertical="center" wrapText="1"/>
    </xf>
    <xf numFmtId="0" fontId="44" fillId="7" borderId="8" xfId="2" applyFont="1" applyFill="1" applyBorder="1" applyAlignment="1">
      <alignment horizontal="center" vertical="center" wrapText="1"/>
    </xf>
    <xf numFmtId="166" fontId="44" fillId="7" borderId="2" xfId="2" applyNumberFormat="1" applyFont="1" applyFill="1" applyBorder="1" applyAlignment="1">
      <alignment horizontal="center" vertical="center" wrapText="1"/>
    </xf>
    <xf numFmtId="168" fontId="44" fillId="7" borderId="6" xfId="2" applyNumberFormat="1" applyFont="1" applyFill="1" applyBorder="1" applyAlignment="1">
      <alignment horizontal="center" vertical="center" wrapText="1"/>
    </xf>
    <xf numFmtId="166" fontId="44" fillId="7" borderId="5" xfId="2" applyNumberFormat="1" applyFont="1" applyFill="1" applyBorder="1" applyAlignment="1">
      <alignment horizontal="center" vertical="center" wrapText="1"/>
    </xf>
    <xf numFmtId="0" fontId="44" fillId="7" borderId="5" xfId="2" applyFont="1" applyFill="1" applyBorder="1" applyAlignment="1">
      <alignment horizontal="center" vertical="center" wrapText="1"/>
    </xf>
    <xf numFmtId="0" fontId="45" fillId="7" borderId="8" xfId="2" applyFont="1" applyFill="1" applyBorder="1" applyAlignment="1">
      <alignment horizontal="center" vertical="center" wrapText="1"/>
    </xf>
    <xf numFmtId="166" fontId="44" fillId="7" borderId="9" xfId="2" applyNumberFormat="1" applyFont="1" applyFill="1" applyBorder="1" applyAlignment="1">
      <alignment horizontal="center" vertical="center" wrapText="1"/>
    </xf>
    <xf numFmtId="0" fontId="44" fillId="7" borderId="10" xfId="2" applyFont="1" applyFill="1" applyBorder="1" applyAlignment="1">
      <alignment horizontal="center" vertical="center" wrapText="1"/>
    </xf>
    <xf numFmtId="166" fontId="44" fillId="7" borderId="10" xfId="2" applyNumberFormat="1" applyFont="1" applyFill="1" applyBorder="1" applyAlignment="1">
      <alignment horizontal="center" vertical="center" wrapText="1"/>
    </xf>
    <xf numFmtId="0" fontId="46" fillId="7" borderId="1" xfId="2" applyFont="1" applyFill="1" applyBorder="1" applyAlignment="1">
      <alignment horizontal="center" vertical="center" wrapText="1"/>
    </xf>
    <xf numFmtId="0" fontId="46" fillId="0" borderId="38" xfId="2" applyFont="1" applyBorder="1" applyAlignment="1">
      <alignment horizontal="center" vertical="center" wrapText="1"/>
    </xf>
    <xf numFmtId="0" fontId="46" fillId="0" borderId="6" xfId="2" applyFont="1" applyBorder="1" applyAlignment="1">
      <alignment horizontal="center" vertical="center" wrapText="1"/>
    </xf>
    <xf numFmtId="0" fontId="44" fillId="0" borderId="2" xfId="2" applyFont="1" applyBorder="1" applyAlignment="1">
      <alignment horizontal="center" vertical="center" wrapText="1"/>
    </xf>
    <xf numFmtId="168" fontId="44" fillId="0" borderId="1" xfId="2" applyNumberFormat="1" applyFont="1" applyBorder="1" applyAlignment="1">
      <alignment horizontal="center" vertical="center" wrapText="1"/>
    </xf>
    <xf numFmtId="166" fontId="44" fillId="0" borderId="1" xfId="2" applyNumberFormat="1" applyFont="1" applyBorder="1" applyAlignment="1">
      <alignment horizontal="center" vertical="center" wrapText="1"/>
    </xf>
    <xf numFmtId="0" fontId="44" fillId="0" borderId="1" xfId="2" applyFont="1" applyBorder="1" applyAlignment="1">
      <alignment horizontal="center" vertical="center" wrapText="1"/>
    </xf>
    <xf numFmtId="168" fontId="44" fillId="0" borderId="5" xfId="2" applyNumberFormat="1" applyFont="1" applyBorder="1" applyAlignment="1">
      <alignment horizontal="center" vertical="center" wrapText="1"/>
    </xf>
    <xf numFmtId="0" fontId="44" fillId="0" borderId="35" xfId="2" applyFont="1" applyBorder="1" applyAlignment="1">
      <alignment horizontal="center" vertical="center" wrapText="1"/>
    </xf>
    <xf numFmtId="0" fontId="44" fillId="0" borderId="8" xfId="2" applyFont="1" applyBorder="1" applyAlignment="1">
      <alignment horizontal="center" vertical="center" wrapText="1"/>
    </xf>
    <xf numFmtId="166" fontId="44" fillId="0" borderId="2" xfId="2" applyNumberFormat="1" applyFont="1" applyBorder="1" applyAlignment="1">
      <alignment horizontal="center" vertical="center" wrapText="1"/>
    </xf>
    <xf numFmtId="168" fontId="44" fillId="0" borderId="6" xfId="2" applyNumberFormat="1" applyFont="1" applyBorder="1" applyAlignment="1">
      <alignment horizontal="center" vertical="center" wrapText="1"/>
    </xf>
    <xf numFmtId="166" fontId="44" fillId="0" borderId="5" xfId="2" applyNumberFormat="1" applyFont="1" applyBorder="1" applyAlignment="1">
      <alignment horizontal="center" vertical="center" wrapText="1"/>
    </xf>
    <xf numFmtId="0" fontId="44" fillId="0" borderId="5" xfId="2" applyFont="1" applyBorder="1" applyAlignment="1">
      <alignment horizontal="center" vertical="center" wrapText="1"/>
    </xf>
    <xf numFmtId="0" fontId="45" fillId="0" borderId="8" xfId="2" applyFont="1" applyBorder="1" applyAlignment="1">
      <alignment horizontal="center" vertical="center" wrapText="1"/>
    </xf>
    <xf numFmtId="166" fontId="44" fillId="0" borderId="9" xfId="2" applyNumberFormat="1" applyFont="1" applyBorder="1" applyAlignment="1">
      <alignment horizontal="center" vertical="center" wrapText="1"/>
    </xf>
    <xf numFmtId="0" fontId="44" fillId="0" borderId="10" xfId="2" applyFont="1" applyBorder="1" applyAlignment="1">
      <alignment horizontal="center" vertical="center" wrapText="1"/>
    </xf>
    <xf numFmtId="166" fontId="44" fillId="0" borderId="10" xfId="2" applyNumberFormat="1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168" fontId="44" fillId="0" borderId="11" xfId="0" applyNumberFormat="1" applyFont="1" applyBorder="1" applyAlignment="1">
      <alignment horizontal="center" vertical="center" wrapText="1"/>
    </xf>
    <xf numFmtId="0" fontId="17" fillId="2" borderId="1" xfId="5" applyFont="1" applyFill="1" applyBorder="1" applyAlignment="1">
      <alignment horizontal="center" vertical="center" wrapText="1"/>
    </xf>
    <xf numFmtId="171" fontId="47" fillId="0" borderId="0" xfId="5" applyNumberFormat="1" applyFont="1" applyAlignment="1">
      <alignment horizontal="center" vertical="center" wrapText="1"/>
    </xf>
    <xf numFmtId="0" fontId="48" fillId="0" borderId="1" xfId="5" applyFont="1" applyBorder="1" applyAlignment="1">
      <alignment horizontal="center" vertical="center" wrapText="1"/>
    </xf>
    <xf numFmtId="0" fontId="49" fillId="3" borderId="1" xfId="3" applyFont="1" applyFill="1" applyBorder="1" applyAlignment="1">
      <alignment horizontal="center" vertical="center" wrapText="1"/>
    </xf>
    <xf numFmtId="1" fontId="50" fillId="0" borderId="1" xfId="3" applyNumberFormat="1" applyFont="1" applyBorder="1" applyAlignment="1">
      <alignment horizontal="center" vertical="center" wrapText="1"/>
    </xf>
    <xf numFmtId="10" fontId="50" fillId="0" borderId="1" xfId="1" applyNumberFormat="1" applyFont="1" applyBorder="1" applyAlignment="1">
      <alignment horizontal="center" vertical="center" wrapText="1"/>
    </xf>
    <xf numFmtId="2" fontId="50" fillId="0" borderId="1" xfId="1" applyNumberFormat="1" applyFont="1" applyBorder="1" applyAlignment="1">
      <alignment horizontal="center" vertical="center" wrapText="1"/>
    </xf>
    <xf numFmtId="0" fontId="31" fillId="0" borderId="5" xfId="4" applyFont="1" applyBorder="1" applyAlignment="1">
      <alignment horizontal="left" vertical="center" wrapText="1"/>
    </xf>
    <xf numFmtId="0" fontId="31" fillId="7" borderId="0" xfId="4" applyFont="1" applyFill="1" applyAlignment="1">
      <alignment horizontal="left" vertical="center" wrapText="1"/>
    </xf>
    <xf numFmtId="0" fontId="31" fillId="7" borderId="40" xfId="4" applyFont="1" applyFill="1" applyBorder="1" applyAlignment="1">
      <alignment horizontal="left" vertical="center" wrapText="1"/>
    </xf>
    <xf numFmtId="0" fontId="51" fillId="9" borderId="1" xfId="4" applyFont="1" applyFill="1" applyBorder="1" applyAlignment="1">
      <alignment horizontal="center" vertical="center" wrapText="1"/>
    </xf>
    <xf numFmtId="0" fontId="52" fillId="0" borderId="1" xfId="4" applyFont="1" applyBorder="1" applyAlignment="1">
      <alignment horizontal="center" vertical="center" wrapText="1"/>
    </xf>
    <xf numFmtId="2" fontId="52" fillId="0" borderId="1" xfId="4" applyNumberFormat="1" applyFont="1" applyBorder="1" applyAlignment="1">
      <alignment horizontal="center" vertical="center" wrapText="1"/>
    </xf>
    <xf numFmtId="0" fontId="52" fillId="0" borderId="5" xfId="4" applyFont="1" applyBorder="1" applyAlignment="1">
      <alignment horizontal="center" vertical="center" wrapText="1"/>
    </xf>
    <xf numFmtId="0" fontId="53" fillId="2" borderId="1" xfId="4" applyFont="1" applyFill="1" applyBorder="1" applyAlignment="1">
      <alignment horizontal="center" vertical="center" wrapText="1"/>
    </xf>
    <xf numFmtId="0" fontId="31" fillId="10" borderId="7" xfId="4" applyFont="1" applyFill="1" applyBorder="1" applyAlignment="1">
      <alignment horizontal="left" vertical="center" wrapText="1"/>
    </xf>
    <xf numFmtId="0" fontId="34" fillId="0" borderId="7" xfId="5" applyFont="1" applyBorder="1" applyAlignment="1">
      <alignment horizontal="center" vertical="center" wrapText="1"/>
    </xf>
    <xf numFmtId="173" fontId="36" fillId="15" borderId="15" xfId="5" applyNumberFormat="1" applyFont="1" applyFill="1" applyBorder="1" applyAlignment="1">
      <alignment horizontal="center" vertical="center" wrapText="1"/>
    </xf>
    <xf numFmtId="173" fontId="36" fillId="0" borderId="15" xfId="5" applyNumberFormat="1" applyFont="1" applyBorder="1" applyAlignment="1">
      <alignment horizontal="center" vertical="center" wrapText="1"/>
    </xf>
    <xf numFmtId="171" fontId="15" fillId="17" borderId="13" xfId="5" applyNumberFormat="1" applyFont="1" applyFill="1" applyBorder="1" applyAlignment="1">
      <alignment horizontal="center" vertical="center" wrapText="1"/>
    </xf>
    <xf numFmtId="171" fontId="15" fillId="17" borderId="14" xfId="5" applyNumberFormat="1" applyFont="1" applyFill="1" applyBorder="1" applyAlignment="1">
      <alignment horizontal="center" vertical="center" wrapText="1"/>
    </xf>
    <xf numFmtId="1" fontId="15" fillId="17" borderId="7" xfId="5" applyNumberFormat="1" applyFont="1" applyFill="1" applyBorder="1" applyAlignment="1">
      <alignment horizontal="center" vertical="center" wrapText="1"/>
    </xf>
    <xf numFmtId="1" fontId="15" fillId="17" borderId="34" xfId="5" applyNumberFormat="1" applyFont="1" applyFill="1" applyBorder="1" applyAlignment="1">
      <alignment horizontal="center" vertical="center" wrapText="1"/>
    </xf>
    <xf numFmtId="171" fontId="15" fillId="19" borderId="13" xfId="5" applyNumberFormat="1" applyFont="1" applyFill="1" applyBorder="1" applyAlignment="1">
      <alignment horizontal="center" vertical="center" wrapText="1"/>
    </xf>
    <xf numFmtId="171" fontId="15" fillId="19" borderId="14" xfId="5" applyNumberFormat="1" applyFont="1" applyFill="1" applyBorder="1" applyAlignment="1">
      <alignment horizontal="center" vertical="center" wrapText="1"/>
    </xf>
    <xf numFmtId="171" fontId="58" fillId="5" borderId="13" xfId="5" applyNumberFormat="1" applyFont="1" applyFill="1" applyBorder="1" applyAlignment="1">
      <alignment horizontal="center" vertical="center" wrapText="1"/>
    </xf>
    <xf numFmtId="171" fontId="58" fillId="5" borderId="14" xfId="5" applyNumberFormat="1" applyFont="1" applyFill="1" applyBorder="1" applyAlignment="1">
      <alignment horizontal="center" vertical="center" wrapText="1"/>
    </xf>
    <xf numFmtId="1" fontId="58" fillId="5" borderId="7" xfId="5" applyNumberFormat="1" applyFont="1" applyFill="1" applyBorder="1" applyAlignment="1">
      <alignment horizontal="center" vertical="center" wrapText="1"/>
    </xf>
    <xf numFmtId="1" fontId="58" fillId="5" borderId="32" xfId="5" applyNumberFormat="1" applyFont="1" applyFill="1" applyBorder="1" applyAlignment="1">
      <alignment horizontal="center" vertical="center" wrapText="1"/>
    </xf>
    <xf numFmtId="0" fontId="61" fillId="8" borderId="13" xfId="5" applyFont="1" applyFill="1" applyBorder="1" applyAlignment="1">
      <alignment horizontal="center" vertical="center" wrapText="1"/>
    </xf>
    <xf numFmtId="0" fontId="61" fillId="8" borderId="14" xfId="5" applyFont="1" applyFill="1" applyBorder="1" applyAlignment="1">
      <alignment horizontal="center" vertical="center" wrapText="1"/>
    </xf>
    <xf numFmtId="0" fontId="61" fillId="6" borderId="1" xfId="5" applyFont="1" applyFill="1" applyBorder="1" applyAlignment="1">
      <alignment horizontal="center" vertical="center" wrapText="1"/>
    </xf>
    <xf numFmtId="0" fontId="61" fillId="6" borderId="5" xfId="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3" fillId="0" borderId="2" xfId="2" applyFont="1" applyBorder="1" applyAlignment="1">
      <alignment horizontal="center" vertical="center" wrapText="1"/>
    </xf>
    <xf numFmtId="168" fontId="63" fillId="0" borderId="1" xfId="2" applyNumberFormat="1" applyFont="1" applyBorder="1" applyAlignment="1">
      <alignment horizontal="center" vertical="center" wrapText="1"/>
    </xf>
    <xf numFmtId="166" fontId="63" fillId="0" borderId="1" xfId="2" applyNumberFormat="1" applyFont="1" applyBorder="1" applyAlignment="1">
      <alignment horizontal="center" vertical="center" wrapText="1"/>
    </xf>
    <xf numFmtId="168" fontId="63" fillId="0" borderId="5" xfId="2" applyNumberFormat="1" applyFont="1" applyBorder="1" applyAlignment="1">
      <alignment horizontal="center" vertical="center" wrapText="1"/>
    </xf>
    <xf numFmtId="0" fontId="63" fillId="0" borderId="35" xfId="2" applyFont="1" applyBorder="1" applyAlignment="1">
      <alignment horizontal="center" vertical="center" wrapText="1"/>
    </xf>
    <xf numFmtId="0" fontId="63" fillId="0" borderId="8" xfId="2" applyFont="1" applyBorder="1" applyAlignment="1">
      <alignment horizontal="center" vertical="center" wrapText="1"/>
    </xf>
    <xf numFmtId="166" fontId="63" fillId="0" borderId="2" xfId="2" applyNumberFormat="1" applyFont="1" applyBorder="1" applyAlignment="1">
      <alignment horizontal="center" vertical="center" wrapText="1"/>
    </xf>
    <xf numFmtId="168" fontId="63" fillId="0" borderId="6" xfId="2" applyNumberFormat="1" applyFont="1" applyBorder="1" applyAlignment="1">
      <alignment horizontal="center" vertical="center" wrapText="1"/>
    </xf>
    <xf numFmtId="166" fontId="63" fillId="0" borderId="5" xfId="2" applyNumberFormat="1" applyFont="1" applyBorder="1" applyAlignment="1">
      <alignment horizontal="center" vertical="center" wrapText="1"/>
    </xf>
    <xf numFmtId="166" fontId="63" fillId="0" borderId="9" xfId="2" applyNumberFormat="1" applyFont="1" applyBorder="1" applyAlignment="1">
      <alignment horizontal="center" vertical="center" wrapText="1"/>
    </xf>
    <xf numFmtId="166" fontId="63" fillId="0" borderId="10" xfId="2" applyNumberFormat="1" applyFont="1" applyBorder="1" applyAlignment="1">
      <alignment horizontal="center" vertical="center" wrapText="1"/>
    </xf>
    <xf numFmtId="0" fontId="63" fillId="0" borderId="39" xfId="0" applyFont="1" applyBorder="1" applyAlignment="1">
      <alignment horizontal="center" vertical="center" wrapText="1"/>
    </xf>
    <xf numFmtId="0" fontId="56" fillId="0" borderId="0" xfId="0" applyFont="1"/>
    <xf numFmtId="168" fontId="63" fillId="0" borderId="11" xfId="0" applyNumberFormat="1" applyFont="1" applyBorder="1" applyAlignment="1">
      <alignment horizontal="center" vertical="center" wrapText="1"/>
    </xf>
    <xf numFmtId="0" fontId="63" fillId="0" borderId="7" xfId="2" applyFont="1" applyBorder="1" applyAlignment="1">
      <alignment horizontal="center" vertical="center" wrapText="1"/>
    </xf>
    <xf numFmtId="0" fontId="63" fillId="0" borderId="17" xfId="2" applyFont="1" applyBorder="1" applyAlignment="1">
      <alignment horizontal="center" vertical="center" wrapText="1"/>
    </xf>
    <xf numFmtId="0" fontId="63" fillId="0" borderId="41" xfId="2" applyFont="1" applyBorder="1" applyAlignment="1">
      <alignment horizontal="center" vertical="center" wrapText="1"/>
    </xf>
    <xf numFmtId="0" fontId="64" fillId="0" borderId="1" xfId="0" applyFont="1" applyBorder="1"/>
    <xf numFmtId="0" fontId="65" fillId="0" borderId="1" xfId="0" applyFont="1" applyBorder="1"/>
    <xf numFmtId="0" fontId="66" fillId="0" borderId="1" xfId="0" applyFont="1" applyBorder="1" applyAlignment="1">
      <alignment horizontal="center" vertical="center"/>
    </xf>
    <xf numFmtId="0" fontId="18" fillId="0" borderId="0" xfId="3" applyAlignment="1">
      <alignment horizontal="center" vertical="center" wrapText="1"/>
    </xf>
    <xf numFmtId="0" fontId="67" fillId="21" borderId="1" xfId="4" applyFont="1" applyFill="1" applyBorder="1" applyAlignment="1">
      <alignment horizontal="center" vertical="center" wrapText="1"/>
    </xf>
    <xf numFmtId="0" fontId="48" fillId="13" borderId="1" xfId="3" applyFont="1" applyFill="1" applyBorder="1" applyAlignment="1">
      <alignment horizontal="center" vertical="center" wrapText="1"/>
    </xf>
    <xf numFmtId="0" fontId="68" fillId="13" borderId="1" xfId="3" applyFont="1" applyFill="1" applyBorder="1" applyAlignment="1">
      <alignment horizontal="center" vertical="center" wrapText="1"/>
    </xf>
    <xf numFmtId="0" fontId="18" fillId="0" borderId="1" xfId="3" applyBorder="1" applyAlignment="1">
      <alignment horizontal="center" vertical="center" wrapText="1"/>
    </xf>
    <xf numFmtId="0" fontId="48" fillId="22" borderId="1" xfId="3" applyFont="1" applyFill="1" applyBorder="1" applyAlignment="1">
      <alignment horizontal="center" vertical="center" wrapText="1"/>
    </xf>
    <xf numFmtId="0" fontId="48" fillId="3" borderId="1" xfId="3" applyFont="1" applyFill="1" applyBorder="1" applyAlignment="1">
      <alignment horizontal="center" vertical="center" wrapText="1"/>
    </xf>
    <xf numFmtId="0" fontId="48" fillId="0" borderId="0" xfId="3" applyFont="1" applyAlignment="1">
      <alignment horizontal="center" vertical="center" wrapText="1"/>
    </xf>
    <xf numFmtId="0" fontId="69" fillId="7" borderId="1" xfId="4" applyFont="1" applyFill="1" applyBorder="1" applyAlignment="1">
      <alignment horizontal="center" vertical="center" wrapText="1"/>
    </xf>
    <xf numFmtId="14" fontId="69" fillId="7" borderId="1" xfId="4" applyNumberFormat="1" applyFont="1" applyFill="1" applyBorder="1" applyAlignment="1">
      <alignment horizontal="center" vertical="center" wrapText="1"/>
    </xf>
    <xf numFmtId="164" fontId="69" fillId="7" borderId="1" xfId="4" applyNumberFormat="1" applyFont="1" applyFill="1" applyBorder="1" applyAlignment="1">
      <alignment horizontal="center" vertical="center" wrapText="1"/>
    </xf>
    <xf numFmtId="0" fontId="17" fillId="2" borderId="1" xfId="3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 vertical="center" wrapText="1"/>
    </xf>
    <xf numFmtId="0" fontId="70" fillId="23" borderId="5" xfId="3" applyFont="1" applyFill="1" applyBorder="1" applyAlignment="1">
      <alignment horizontal="center" vertical="center" wrapText="1"/>
    </xf>
    <xf numFmtId="164" fontId="70" fillId="23" borderId="1" xfId="4" applyNumberFormat="1" applyFont="1" applyFill="1" applyBorder="1" applyAlignment="1">
      <alignment horizontal="center" vertical="center" wrapText="1"/>
    </xf>
    <xf numFmtId="0" fontId="70" fillId="23" borderId="1" xfId="3" applyFont="1" applyFill="1" applyBorder="1" applyAlignment="1">
      <alignment horizontal="center" vertical="center" wrapText="1"/>
    </xf>
    <xf numFmtId="0" fontId="71" fillId="3" borderId="1" xfId="3" applyFont="1" applyFill="1" applyBorder="1" applyAlignment="1">
      <alignment horizontal="center" vertical="center" wrapText="1"/>
    </xf>
    <xf numFmtId="0" fontId="69" fillId="7" borderId="7" xfId="4" applyFont="1" applyFill="1" applyBorder="1" applyAlignment="1">
      <alignment horizontal="center" vertical="center" wrapText="1"/>
    </xf>
    <xf numFmtId="0" fontId="70" fillId="7" borderId="40" xfId="3" applyFont="1" applyFill="1" applyBorder="1" applyAlignment="1">
      <alignment vertical="center" wrapText="1"/>
    </xf>
    <xf numFmtId="164" fontId="70" fillId="7" borderId="40" xfId="4" applyNumberFormat="1" applyFont="1" applyFill="1" applyBorder="1" applyAlignment="1">
      <alignment horizontal="center" vertical="center" wrapText="1"/>
    </xf>
    <xf numFmtId="0" fontId="70" fillId="7" borderId="40" xfId="3" applyFont="1" applyFill="1" applyBorder="1" applyAlignment="1">
      <alignment horizontal="center" vertical="center" wrapText="1"/>
    </xf>
    <xf numFmtId="14" fontId="69" fillId="7" borderId="6" xfId="4" applyNumberFormat="1" applyFont="1" applyFill="1" applyBorder="1" applyAlignment="1">
      <alignment horizontal="center" vertical="center" wrapText="1"/>
    </xf>
    <xf numFmtId="164" fontId="69" fillId="7" borderId="6" xfId="4" applyNumberFormat="1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72" fillId="0" borderId="0" xfId="4" applyFont="1"/>
    <xf numFmtId="0" fontId="73" fillId="26" borderId="13" xfId="4" applyFont="1" applyFill="1" applyBorder="1" applyAlignment="1">
      <alignment horizontal="center" vertical="center"/>
    </xf>
    <xf numFmtId="14" fontId="74" fillId="11" borderId="13" xfId="4" applyNumberFormat="1" applyFont="1" applyFill="1" applyBorder="1" applyAlignment="1">
      <alignment horizontal="center" vertical="center"/>
    </xf>
    <xf numFmtId="0" fontId="74" fillId="11" borderId="13" xfId="4" applyFont="1" applyFill="1" applyBorder="1" applyAlignment="1">
      <alignment horizontal="center" vertical="center"/>
    </xf>
    <xf numFmtId="168" fontId="74" fillId="11" borderId="13" xfId="4" applyNumberFormat="1" applyFont="1" applyFill="1" applyBorder="1" applyAlignment="1">
      <alignment horizontal="center" vertical="center"/>
    </xf>
    <xf numFmtId="14" fontId="72" fillId="27" borderId="0" xfId="4" applyNumberFormat="1" applyFont="1" applyFill="1" applyAlignment="1">
      <alignment horizontal="center" vertical="center"/>
    </xf>
    <xf numFmtId="0" fontId="75" fillId="28" borderId="13" xfId="4" applyFont="1" applyFill="1" applyBorder="1" applyAlignment="1">
      <alignment horizontal="center" vertical="center"/>
    </xf>
    <xf numFmtId="0" fontId="74" fillId="27" borderId="13" xfId="4" applyFont="1" applyFill="1" applyBorder="1" applyAlignment="1">
      <alignment horizontal="center" vertical="center"/>
    </xf>
    <xf numFmtId="168" fontId="74" fillId="27" borderId="13" xfId="4" applyNumberFormat="1" applyFont="1" applyFill="1" applyBorder="1" applyAlignment="1">
      <alignment horizontal="center" vertical="center"/>
    </xf>
    <xf numFmtId="14" fontId="74" fillId="27" borderId="13" xfId="4" applyNumberFormat="1" applyFont="1" applyFill="1" applyBorder="1" applyAlignment="1">
      <alignment horizontal="center" vertical="center"/>
    </xf>
    <xf numFmtId="0" fontId="74" fillId="0" borderId="13" xfId="4" applyFont="1" applyBorder="1" applyAlignment="1">
      <alignment horizontal="center" vertical="center"/>
    </xf>
    <xf numFmtId="0" fontId="76" fillId="0" borderId="0" xfId="4" applyFont="1" applyAlignment="1">
      <alignment horizontal="center" vertical="center"/>
    </xf>
    <xf numFmtId="0" fontId="15" fillId="0" borderId="0" xfId="4" applyFont="1"/>
    <xf numFmtId="0" fontId="77" fillId="26" borderId="13" xfId="4" applyFont="1" applyFill="1" applyBorder="1" applyAlignment="1">
      <alignment horizontal="center" vertical="center"/>
    </xf>
    <xf numFmtId="0" fontId="76" fillId="11" borderId="13" xfId="4" applyFont="1" applyFill="1" applyBorder="1" applyAlignment="1">
      <alignment horizontal="center" vertical="center"/>
    </xf>
    <xf numFmtId="168" fontId="76" fillId="11" borderId="13" xfId="4" applyNumberFormat="1" applyFont="1" applyFill="1" applyBorder="1" applyAlignment="1">
      <alignment horizontal="center" vertical="center"/>
    </xf>
    <xf numFmtId="14" fontId="76" fillId="11" borderId="13" xfId="4" applyNumberFormat="1" applyFont="1" applyFill="1" applyBorder="1" applyAlignment="1">
      <alignment horizontal="center" vertical="center"/>
    </xf>
    <xf numFmtId="0" fontId="78" fillId="29" borderId="13" xfId="4" applyFont="1" applyFill="1" applyBorder="1" applyAlignment="1">
      <alignment horizontal="center" vertical="center"/>
    </xf>
    <xf numFmtId="0" fontId="78" fillId="27" borderId="13" xfId="4" applyFont="1" applyFill="1" applyBorder="1" applyAlignment="1">
      <alignment horizontal="center" vertical="center"/>
    </xf>
    <xf numFmtId="0" fontId="17" fillId="27" borderId="13" xfId="4" applyFont="1" applyFill="1" applyBorder="1" applyAlignment="1">
      <alignment horizontal="center" vertical="center"/>
    </xf>
    <xf numFmtId="0" fontId="17" fillId="0" borderId="13" xfId="4" applyFont="1" applyBorder="1" applyAlignment="1">
      <alignment horizontal="center" vertical="center"/>
    </xf>
    <xf numFmtId="168" fontId="76" fillId="27" borderId="13" xfId="4" applyNumberFormat="1" applyFont="1" applyFill="1" applyBorder="1" applyAlignment="1">
      <alignment horizontal="center" vertical="center"/>
    </xf>
    <xf numFmtId="14" fontId="76" fillId="27" borderId="13" xfId="4" applyNumberFormat="1" applyFont="1" applyFill="1" applyBorder="1" applyAlignment="1">
      <alignment horizontal="center" vertical="center"/>
    </xf>
    <xf numFmtId="0" fontId="15" fillId="11" borderId="13" xfId="4" applyFont="1" applyFill="1" applyBorder="1" applyAlignment="1">
      <alignment horizontal="center" vertical="center"/>
    </xf>
    <xf numFmtId="168" fontId="15" fillId="11" borderId="13" xfId="4" applyNumberFormat="1" applyFont="1" applyFill="1" applyBorder="1" applyAlignment="1">
      <alignment horizontal="center" vertical="center"/>
    </xf>
    <xf numFmtId="14" fontId="15" fillId="11" borderId="13" xfId="4" applyNumberFormat="1" applyFont="1" applyFill="1" applyBorder="1" applyAlignment="1">
      <alignment horizontal="center" vertical="center"/>
    </xf>
    <xf numFmtId="14" fontId="78" fillId="29" borderId="13" xfId="4" applyNumberFormat="1" applyFont="1" applyFill="1" applyBorder="1" applyAlignment="1">
      <alignment horizontal="center" vertical="center"/>
    </xf>
    <xf numFmtId="0" fontId="76" fillId="27" borderId="0" xfId="4" applyFont="1" applyFill="1" applyAlignment="1">
      <alignment horizontal="center" vertical="center"/>
    </xf>
    <xf numFmtId="14" fontId="76" fillId="27" borderId="0" xfId="4" applyNumberFormat="1" applyFont="1" applyFill="1" applyAlignment="1">
      <alignment horizontal="center" vertical="center"/>
    </xf>
    <xf numFmtId="0" fontId="15" fillId="11" borderId="16" xfId="4" applyFont="1" applyFill="1" applyBorder="1" applyAlignment="1">
      <alignment horizontal="center" vertical="center"/>
    </xf>
    <xf numFmtId="14" fontId="76" fillId="11" borderId="16" xfId="4" applyNumberFormat="1" applyFont="1" applyFill="1" applyBorder="1" applyAlignment="1">
      <alignment horizontal="center" vertical="center"/>
    </xf>
    <xf numFmtId="14" fontId="15" fillId="11" borderId="16" xfId="4" applyNumberFormat="1" applyFont="1" applyFill="1" applyBorder="1" applyAlignment="1">
      <alignment horizontal="center" vertical="center"/>
    </xf>
    <xf numFmtId="0" fontId="76" fillId="11" borderId="10" xfId="4" applyFont="1" applyFill="1" applyBorder="1" applyAlignment="1">
      <alignment horizontal="center" vertical="center"/>
    </xf>
    <xf numFmtId="14" fontId="76" fillId="11" borderId="10" xfId="4" applyNumberFormat="1" applyFont="1" applyFill="1" applyBorder="1" applyAlignment="1">
      <alignment horizontal="center" vertical="center"/>
    </xf>
    <xf numFmtId="0" fontId="15" fillId="0" borderId="0" xfId="4" applyFont="1" applyAlignment="1">
      <alignment horizontal="center" vertical="center" wrapText="1"/>
    </xf>
    <xf numFmtId="0" fontId="15" fillId="0" borderId="0" xfId="4" applyFont="1" applyAlignment="1">
      <alignment wrapText="1"/>
    </xf>
    <xf numFmtId="0" fontId="76" fillId="27" borderId="0" xfId="4" applyFont="1" applyFill="1" applyAlignment="1">
      <alignment horizontal="center" vertical="center" wrapText="1"/>
    </xf>
    <xf numFmtId="2" fontId="16" fillId="30" borderId="13" xfId="4" applyNumberFormat="1" applyFont="1" applyFill="1" applyBorder="1" applyAlignment="1">
      <alignment horizontal="center" vertical="center" wrapText="1"/>
    </xf>
    <xf numFmtId="2" fontId="76" fillId="11" borderId="13" xfId="4" applyNumberFormat="1" applyFont="1" applyFill="1" applyBorder="1" applyAlignment="1">
      <alignment horizontal="center" vertical="center" wrapText="1"/>
    </xf>
    <xf numFmtId="168" fontId="76" fillId="11" borderId="13" xfId="4" applyNumberFormat="1" applyFont="1" applyFill="1" applyBorder="1" applyAlignment="1">
      <alignment horizontal="center" vertical="center" wrapText="1"/>
    </xf>
    <xf numFmtId="0" fontId="17" fillId="29" borderId="13" xfId="4" applyFont="1" applyFill="1" applyBorder="1" applyAlignment="1">
      <alignment horizontal="center" vertical="center" wrapText="1"/>
    </xf>
    <xf numFmtId="0" fontId="17" fillId="31" borderId="13" xfId="4" applyFont="1" applyFill="1" applyBorder="1" applyAlignment="1">
      <alignment horizontal="center" vertical="center" wrapText="1"/>
    </xf>
    <xf numFmtId="168" fontId="15" fillId="27" borderId="13" xfId="4" applyNumberFormat="1" applyFont="1" applyFill="1" applyBorder="1" applyAlignment="1">
      <alignment horizontal="center" vertical="center" wrapText="1"/>
    </xf>
    <xf numFmtId="2" fontId="78" fillId="11" borderId="13" xfId="4" applyNumberFormat="1" applyFont="1" applyFill="1" applyBorder="1" applyAlignment="1">
      <alignment horizontal="center" vertical="center" wrapText="1"/>
    </xf>
    <xf numFmtId="168" fontId="78" fillId="11" borderId="13" xfId="4" applyNumberFormat="1" applyFont="1" applyFill="1" applyBorder="1" applyAlignment="1">
      <alignment horizontal="center" vertical="center" wrapText="1"/>
    </xf>
    <xf numFmtId="0" fontId="15" fillId="7" borderId="0" xfId="4" applyFont="1" applyFill="1" applyAlignment="1">
      <alignment wrapText="1"/>
    </xf>
    <xf numFmtId="2" fontId="76" fillId="32" borderId="0" xfId="4" applyNumberFormat="1" applyFont="1" applyFill="1" applyAlignment="1">
      <alignment horizontal="center" vertical="center" wrapText="1"/>
    </xf>
    <xf numFmtId="168" fontId="76" fillId="32" borderId="0" xfId="4" applyNumberFormat="1" applyFont="1" applyFill="1" applyAlignment="1">
      <alignment horizontal="center" vertical="center" wrapText="1"/>
    </xf>
    <xf numFmtId="0" fontId="16" fillId="30" borderId="13" xfId="4" applyFont="1" applyFill="1" applyBorder="1" applyAlignment="1">
      <alignment horizontal="center" vertical="center" wrapText="1"/>
    </xf>
    <xf numFmtId="0" fontId="79" fillId="31" borderId="13" xfId="4" applyFont="1" applyFill="1" applyBorder="1" applyAlignment="1">
      <alignment horizontal="center" vertical="center" wrapText="1"/>
    </xf>
    <xf numFmtId="0" fontId="76" fillId="11" borderId="13" xfId="4" applyFont="1" applyFill="1" applyBorder="1" applyAlignment="1">
      <alignment horizontal="center" vertical="center" wrapText="1"/>
    </xf>
    <xf numFmtId="14" fontId="76" fillId="11" borderId="13" xfId="4" applyNumberFormat="1" applyFont="1" applyFill="1" applyBorder="1" applyAlignment="1">
      <alignment horizontal="center" vertical="center" wrapText="1"/>
    </xf>
    <xf numFmtId="14" fontId="15" fillId="27" borderId="13" xfId="4" applyNumberFormat="1" applyFont="1" applyFill="1" applyBorder="1" applyAlignment="1">
      <alignment horizontal="center" vertical="center" wrapText="1"/>
    </xf>
    <xf numFmtId="0" fontId="76" fillId="11" borderId="16" xfId="4" applyFont="1" applyFill="1" applyBorder="1" applyAlignment="1">
      <alignment horizontal="center" vertical="center" wrapText="1"/>
    </xf>
    <xf numFmtId="14" fontId="76" fillId="11" borderId="16" xfId="4" applyNumberFormat="1" applyFont="1" applyFill="1" applyBorder="1" applyAlignment="1">
      <alignment horizontal="center" vertical="center" wrapText="1"/>
    </xf>
    <xf numFmtId="0" fontId="76" fillId="11" borderId="10" xfId="4" applyFont="1" applyFill="1" applyBorder="1" applyAlignment="1">
      <alignment horizontal="center" vertical="center" wrapText="1"/>
    </xf>
    <xf numFmtId="14" fontId="76" fillId="11" borderId="10" xfId="4" applyNumberFormat="1" applyFont="1" applyFill="1" applyBorder="1" applyAlignment="1">
      <alignment horizontal="center" vertical="center" wrapText="1"/>
    </xf>
    <xf numFmtId="14" fontId="76" fillId="27" borderId="0" xfId="4" applyNumberFormat="1" applyFont="1" applyFill="1" applyAlignment="1">
      <alignment horizontal="center" vertical="center" wrapText="1"/>
    </xf>
    <xf numFmtId="168" fontId="76" fillId="27" borderId="0" xfId="4" applyNumberFormat="1" applyFont="1" applyFill="1" applyAlignment="1">
      <alignment horizontal="center" vertical="center" wrapText="1"/>
    </xf>
    <xf numFmtId="0" fontId="78" fillId="11" borderId="13" xfId="4" applyFont="1" applyFill="1" applyBorder="1" applyAlignment="1">
      <alignment horizontal="center" vertical="center" wrapText="1"/>
    </xf>
    <xf numFmtId="0" fontId="78" fillId="11" borderId="16" xfId="4" applyFont="1" applyFill="1" applyBorder="1" applyAlignment="1">
      <alignment horizontal="center" vertical="center" wrapText="1"/>
    </xf>
    <xf numFmtId="0" fontId="78" fillId="11" borderId="10" xfId="4" applyFont="1" applyFill="1" applyBorder="1" applyAlignment="1">
      <alignment horizontal="center" vertical="center" wrapText="1"/>
    </xf>
    <xf numFmtId="0" fontId="80" fillId="3" borderId="1" xfId="3" applyFont="1" applyFill="1" applyBorder="1" applyAlignment="1">
      <alignment horizontal="center" vertical="center" wrapText="1"/>
    </xf>
    <xf numFmtId="0" fontId="81" fillId="25" borderId="1" xfId="3" applyFont="1" applyFill="1" applyBorder="1" applyAlignment="1">
      <alignment horizontal="center" vertical="center" wrapText="1"/>
    </xf>
    <xf numFmtId="0" fontId="83" fillId="13" borderId="1" xfId="3" applyFont="1" applyFill="1" applyBorder="1" applyAlignment="1">
      <alignment horizontal="center" vertical="center" wrapText="1"/>
    </xf>
    <xf numFmtId="0" fontId="83" fillId="0" borderId="0" xfId="3" applyFont="1" applyAlignment="1">
      <alignment horizontal="center" vertical="center" wrapText="1"/>
    </xf>
    <xf numFmtId="0" fontId="80" fillId="3" borderId="5" xfId="3" applyFont="1" applyFill="1" applyBorder="1" applyAlignment="1">
      <alignment horizontal="center" vertical="center" wrapText="1"/>
    </xf>
    <xf numFmtId="0" fontId="80" fillId="24" borderId="1" xfId="3" applyFont="1" applyFill="1" applyBorder="1" applyAlignment="1">
      <alignment horizontal="center" vertical="center" wrapText="1"/>
    </xf>
    <xf numFmtId="0" fontId="83" fillId="13" borderId="7" xfId="3" applyFont="1" applyFill="1" applyBorder="1" applyAlignment="1">
      <alignment horizontal="center" vertical="center" wrapText="1"/>
    </xf>
    <xf numFmtId="0" fontId="83" fillId="7" borderId="30" xfId="3" applyFont="1" applyFill="1" applyBorder="1" applyAlignment="1">
      <alignment horizontal="center" vertical="center" wrapText="1"/>
    </xf>
    <xf numFmtId="0" fontId="83" fillId="2" borderId="1" xfId="3" applyFont="1" applyFill="1" applyBorder="1" applyAlignment="1">
      <alignment horizontal="center" vertical="center" wrapText="1"/>
    </xf>
    <xf numFmtId="0" fontId="83" fillId="9" borderId="1" xfId="3" applyFont="1" applyFill="1" applyBorder="1" applyAlignment="1">
      <alignment horizontal="center" vertical="center" wrapText="1"/>
    </xf>
    <xf numFmtId="0" fontId="83" fillId="9" borderId="7" xfId="3" applyFont="1" applyFill="1" applyBorder="1" applyAlignment="1">
      <alignment horizontal="center" vertical="center" wrapText="1"/>
    </xf>
    <xf numFmtId="0" fontId="82" fillId="0" borderId="1" xfId="3" applyFont="1" applyBorder="1" applyAlignment="1">
      <alignment horizontal="center" vertical="center" wrapText="1"/>
    </xf>
    <xf numFmtId="1" fontId="82" fillId="0" borderId="1" xfId="3" applyNumberFormat="1" applyFont="1" applyBorder="1" applyAlignment="1">
      <alignment horizontal="center" vertical="center" wrapText="1"/>
    </xf>
    <xf numFmtId="0" fontId="82" fillId="7" borderId="1" xfId="3" applyFont="1" applyFill="1" applyBorder="1" applyAlignment="1">
      <alignment horizontal="center" vertical="center" wrapText="1"/>
    </xf>
    <xf numFmtId="1" fontId="82" fillId="7" borderId="1" xfId="3" applyNumberFormat="1" applyFont="1" applyFill="1" applyBorder="1" applyAlignment="1">
      <alignment horizontal="center" vertical="center" wrapText="1"/>
    </xf>
    <xf numFmtId="0" fontId="80" fillId="24" borderId="0" xfId="3" applyFont="1" applyFill="1" applyAlignment="1">
      <alignment horizontal="center" vertical="center" wrapText="1"/>
    </xf>
    <xf numFmtId="0" fontId="83" fillId="0" borderId="1" xfId="3" applyFont="1" applyBorder="1" applyAlignment="1">
      <alignment horizontal="center" vertical="center" wrapText="1"/>
    </xf>
    <xf numFmtId="0" fontId="83" fillId="0" borderId="7" xfId="3" applyFont="1" applyBorder="1" applyAlignment="1">
      <alignment horizontal="center" vertical="center" wrapText="1"/>
    </xf>
    <xf numFmtId="0" fontId="80" fillId="24" borderId="7" xfId="3" applyFont="1" applyFill="1" applyBorder="1" applyAlignment="1">
      <alignment horizontal="center" vertical="center" wrapText="1"/>
    </xf>
    <xf numFmtId="0" fontId="83" fillId="2" borderId="7" xfId="3" applyFont="1" applyFill="1" applyBorder="1" applyAlignment="1">
      <alignment horizontal="center" vertical="center" wrapText="1"/>
    </xf>
    <xf numFmtId="0" fontId="83" fillId="7" borderId="1" xfId="3" applyFont="1" applyFill="1" applyBorder="1" applyAlignment="1">
      <alignment horizontal="center" vertical="center" wrapText="1"/>
    </xf>
    <xf numFmtId="0" fontId="84" fillId="25" borderId="1" xfId="3" applyFont="1" applyFill="1" applyBorder="1" applyAlignment="1">
      <alignment horizontal="center" vertical="center" wrapText="1"/>
    </xf>
    <xf numFmtId="0" fontId="82" fillId="13" borderId="1" xfId="3" applyFont="1" applyFill="1" applyBorder="1" applyAlignment="1">
      <alignment horizontal="center" vertical="center" wrapText="1"/>
    </xf>
    <xf numFmtId="1" fontId="82" fillId="13" borderId="1" xfId="3" applyNumberFormat="1" applyFont="1" applyFill="1" applyBorder="1" applyAlignment="1">
      <alignment horizontal="center" vertical="center" wrapText="1"/>
    </xf>
    <xf numFmtId="0" fontId="82" fillId="23" borderId="1" xfId="3" applyFont="1" applyFill="1" applyBorder="1" applyAlignment="1">
      <alignment horizontal="center" vertical="center" wrapText="1"/>
    </xf>
    <xf numFmtId="1" fontId="82" fillId="23" borderId="1" xfId="3" applyNumberFormat="1" applyFont="1" applyFill="1" applyBorder="1" applyAlignment="1">
      <alignment horizontal="center" vertical="center" wrapText="1"/>
    </xf>
    <xf numFmtId="0" fontId="82" fillId="2" borderId="1" xfId="3" applyFont="1" applyFill="1" applyBorder="1" applyAlignment="1">
      <alignment horizontal="center" vertical="center" wrapText="1"/>
    </xf>
    <xf numFmtId="1" fontId="82" fillId="2" borderId="1" xfId="3" applyNumberFormat="1" applyFont="1" applyFill="1" applyBorder="1" applyAlignment="1">
      <alignment horizontal="center" vertical="center" wrapText="1"/>
    </xf>
    <xf numFmtId="0" fontId="86" fillId="25" borderId="1" xfId="3" applyFont="1" applyFill="1" applyBorder="1" applyAlignment="1">
      <alignment horizontal="center" vertical="center" wrapText="1"/>
    </xf>
    <xf numFmtId="0" fontId="87" fillId="13" borderId="1" xfId="3" applyFont="1" applyFill="1" applyBorder="1" applyAlignment="1">
      <alignment horizontal="center" vertical="center" wrapText="1"/>
    </xf>
    <xf numFmtId="0" fontId="83" fillId="3" borderId="0" xfId="3" applyFont="1" applyFill="1" applyAlignment="1">
      <alignment horizontal="center" vertical="center" wrapText="1"/>
    </xf>
    <xf numFmtId="0" fontId="83" fillId="13" borderId="30" xfId="3" applyFont="1" applyFill="1" applyBorder="1" applyAlignment="1">
      <alignment horizontal="center" vertical="center" wrapText="1"/>
    </xf>
    <xf numFmtId="0" fontId="83" fillId="23" borderId="30" xfId="3" applyFont="1" applyFill="1" applyBorder="1" applyAlignment="1">
      <alignment horizontal="center" vertical="center" wrapText="1"/>
    </xf>
    <xf numFmtId="0" fontId="0" fillId="14" borderId="0" xfId="0" applyFill="1"/>
    <xf numFmtId="0" fontId="12" fillId="13" borderId="1" xfId="3" applyFont="1" applyFill="1" applyBorder="1" applyAlignment="1">
      <alignment horizontal="center" vertical="center" wrapText="1"/>
    </xf>
    <xf numFmtId="0" fontId="12" fillId="22" borderId="1" xfId="3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7" fillId="2" borderId="1" xfId="3" applyFont="1" applyFill="1" applyBorder="1" applyAlignment="1">
      <alignment horizontal="center" vertical="center" wrapText="1"/>
    </xf>
    <xf numFmtId="0" fontId="70" fillId="23" borderId="5" xfId="3" applyFont="1" applyFill="1" applyBorder="1" applyAlignment="1">
      <alignment horizontal="center" vertical="center" wrapText="1"/>
    </xf>
    <xf numFmtId="0" fontId="70" fillId="23" borderId="11" xfId="3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54" fillId="0" borderId="1" xfId="4" applyFont="1" applyBorder="1" applyAlignment="1">
      <alignment horizontal="center" vertical="center" wrapText="1"/>
    </xf>
    <xf numFmtId="0" fontId="55" fillId="0" borderId="1" xfId="4" applyFont="1" applyBorder="1" applyAlignment="1">
      <alignment horizontal="center" vertical="center" wrapText="1"/>
    </xf>
    <xf numFmtId="0" fontId="34" fillId="12" borderId="21" xfId="5" applyFont="1" applyFill="1" applyBorder="1" applyAlignment="1">
      <alignment horizontal="center" vertical="center" wrapText="1"/>
    </xf>
    <xf numFmtId="0" fontId="34" fillId="12" borderId="23" xfId="5" applyFont="1" applyFill="1" applyBorder="1" applyAlignment="1">
      <alignment horizontal="center" vertical="center" wrapText="1"/>
    </xf>
    <xf numFmtId="0" fontId="34" fillId="12" borderId="25" xfId="5" applyFont="1" applyFill="1" applyBorder="1" applyAlignment="1">
      <alignment horizontal="center" vertical="center" wrapText="1"/>
    </xf>
    <xf numFmtId="0" fontId="34" fillId="12" borderId="22" xfId="5" applyFont="1" applyFill="1" applyBorder="1" applyAlignment="1">
      <alignment horizontal="center" vertical="center" wrapText="1"/>
    </xf>
    <xf numFmtId="0" fontId="40" fillId="13" borderId="24" xfId="5" applyFont="1" applyFill="1" applyBorder="1" applyAlignment="1">
      <alignment horizontal="center" vertical="center" wrapText="1"/>
    </xf>
    <xf numFmtId="0" fontId="40" fillId="13" borderId="26" xfId="5" applyFont="1" applyFill="1" applyBorder="1" applyAlignment="1">
      <alignment horizontal="center" vertical="center" wrapText="1"/>
    </xf>
    <xf numFmtId="0" fontId="35" fillId="8" borderId="1" xfId="5" applyFont="1" applyFill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0" fontId="34" fillId="12" borderId="27" xfId="5" applyFont="1" applyFill="1" applyBorder="1" applyAlignment="1">
      <alignment horizontal="center" vertical="center" wrapText="1"/>
    </xf>
    <xf numFmtId="0" fontId="34" fillId="12" borderId="28" xfId="5" applyFont="1" applyFill="1" applyBorder="1" applyAlignment="1">
      <alignment horizontal="center" vertical="center" wrapText="1"/>
    </xf>
    <xf numFmtId="0" fontId="34" fillId="12" borderId="5" xfId="5" applyFont="1" applyFill="1" applyBorder="1" applyAlignment="1">
      <alignment horizontal="center" vertical="center" wrapText="1"/>
    </xf>
    <xf numFmtId="0" fontId="34" fillId="12" borderId="11" xfId="5" applyFont="1" applyFill="1" applyBorder="1" applyAlignment="1">
      <alignment horizontal="center" vertical="center" wrapText="1"/>
    </xf>
    <xf numFmtId="0" fontId="34" fillId="12" borderId="6" xfId="5" applyFont="1" applyFill="1" applyBorder="1" applyAlignment="1">
      <alignment horizontal="center" vertical="center" wrapText="1"/>
    </xf>
    <xf numFmtId="0" fontId="59" fillId="20" borderId="33" xfId="5" applyFont="1" applyFill="1" applyBorder="1" applyAlignment="1">
      <alignment horizontal="center" vertical="center" wrapText="1"/>
    </xf>
    <xf numFmtId="0" fontId="60" fillId="5" borderId="0" xfId="5" applyFont="1" applyFill="1" applyAlignment="1">
      <alignment horizontal="center" vertical="center" wrapText="1"/>
    </xf>
    <xf numFmtId="0" fontId="57" fillId="18" borderId="35" xfId="5" applyFont="1" applyFill="1" applyBorder="1" applyAlignment="1">
      <alignment horizontal="center" vertical="center" wrapText="1"/>
    </xf>
    <xf numFmtId="0" fontId="57" fillId="18" borderId="2" xfId="5" applyFont="1" applyFill="1" applyBorder="1" applyAlignment="1">
      <alignment horizontal="center" vertical="center" wrapText="1"/>
    </xf>
    <xf numFmtId="0" fontId="39" fillId="10" borderId="36" xfId="5" applyFont="1" applyFill="1" applyBorder="1" applyAlignment="1">
      <alignment horizontal="center" vertical="center" wrapText="1"/>
    </xf>
    <xf numFmtId="0" fontId="39" fillId="10" borderId="37" xfId="5" applyFont="1" applyFill="1" applyBorder="1" applyAlignment="1">
      <alignment horizontal="center" vertical="center" wrapText="1"/>
    </xf>
    <xf numFmtId="0" fontId="34" fillId="2" borderId="2" xfId="5" applyFont="1" applyFill="1" applyBorder="1" applyAlignment="1">
      <alignment horizontal="center" vertical="center" wrapText="1"/>
    </xf>
    <xf numFmtId="0" fontId="34" fillId="12" borderId="17" xfId="5" applyFont="1" applyFill="1" applyBorder="1" applyAlignment="1">
      <alignment horizontal="center" vertical="center" wrapText="1"/>
    </xf>
    <xf numFmtId="0" fontId="34" fillId="12" borderId="30" xfId="5" applyFont="1" applyFill="1" applyBorder="1" applyAlignment="1">
      <alignment horizontal="center" vertical="center" wrapText="1"/>
    </xf>
    <xf numFmtId="0" fontId="34" fillId="12" borderId="31" xfId="5" applyFont="1" applyFill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0" fontId="34" fillId="11" borderId="14" xfId="5" applyFont="1" applyFill="1" applyBorder="1" applyAlignment="1">
      <alignment horizontal="center" vertical="center" wrapText="1"/>
    </xf>
    <xf numFmtId="0" fontId="37" fillId="0" borderId="29" xfId="5" applyFont="1" applyBorder="1" applyAlignment="1">
      <alignment horizontal="center" vertical="center" wrapText="1"/>
    </xf>
    <xf numFmtId="0" fontId="41" fillId="0" borderId="1" xfId="5" applyFont="1" applyBorder="1" applyAlignment="1">
      <alignment horizontal="center" vertical="center" wrapText="1"/>
    </xf>
    <xf numFmtId="0" fontId="34" fillId="2" borderId="1" xfId="5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 wrapText="1"/>
    </xf>
    <xf numFmtId="0" fontId="42" fillId="8" borderId="5" xfId="0" applyFont="1" applyFill="1" applyBorder="1" applyAlignment="1">
      <alignment horizontal="center" vertical="center" wrapText="1"/>
    </xf>
    <xf numFmtId="0" fontId="42" fillId="8" borderId="11" xfId="0" applyFont="1" applyFill="1" applyBorder="1" applyAlignment="1">
      <alignment horizontal="center" vertical="center" wrapText="1"/>
    </xf>
    <xf numFmtId="0" fontId="42" fillId="8" borderId="6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center" vertical="center" wrapText="1"/>
    </xf>
    <xf numFmtId="0" fontId="62" fillId="13" borderId="1" xfId="0" applyFont="1" applyFill="1" applyBorder="1" applyAlignment="1">
      <alignment horizontal="center" vertical="center" wrapText="1"/>
    </xf>
    <xf numFmtId="0" fontId="62" fillId="8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84" fillId="10" borderId="1" xfId="3" applyFont="1" applyFill="1" applyBorder="1" applyAlignment="1">
      <alignment horizontal="center" vertical="center" wrapText="1"/>
    </xf>
    <xf numFmtId="0" fontId="84" fillId="10" borderId="5" xfId="3" applyFont="1" applyFill="1" applyBorder="1" applyAlignment="1">
      <alignment horizontal="center" vertical="center" wrapText="1"/>
    </xf>
    <xf numFmtId="0" fontId="84" fillId="10" borderId="11" xfId="3" applyFont="1" applyFill="1" applyBorder="1" applyAlignment="1">
      <alignment horizontal="center" vertical="center" wrapText="1"/>
    </xf>
    <xf numFmtId="0" fontId="84" fillId="10" borderId="6" xfId="3" applyFont="1" applyFill="1" applyBorder="1" applyAlignment="1">
      <alignment horizontal="center" vertical="center" wrapText="1"/>
    </xf>
    <xf numFmtId="0" fontId="85" fillId="13" borderId="1" xfId="3" applyFont="1" applyFill="1" applyBorder="1" applyAlignment="1">
      <alignment horizontal="center" vertical="center" wrapText="1"/>
    </xf>
    <xf numFmtId="0" fontId="88" fillId="0" borderId="1" xfId="3" applyFont="1" applyBorder="1" applyAlignment="1">
      <alignment horizontal="center" vertical="center"/>
    </xf>
  </cellXfs>
  <cellStyles count="6">
    <cellStyle name="Normal" xfId="0" builtinId="0"/>
    <cellStyle name="Normal 2" xfId="2" xr:uid="{ED39DA28-7E6B-425E-98B8-57411B434F6C}"/>
    <cellStyle name="Normal 2 2" xfId="4" xr:uid="{AA9D0931-8844-460C-880A-F0436CC3AA52}"/>
    <cellStyle name="Normal 3" xfId="3" xr:uid="{EF94B418-76B4-40F7-A16C-503A322EC9EF}"/>
    <cellStyle name="Normal 4" xfId="5" xr:uid="{696AB5AB-E537-4211-B41A-F01264878CAB}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family val="1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8" formatCode="&quot;₹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customXml" Target="../ink/ink10.xml"/><Relationship Id="rId26" Type="http://schemas.openxmlformats.org/officeDocument/2006/relationships/customXml" Target="../ink/ink16.xml"/><Relationship Id="rId39" Type="http://schemas.openxmlformats.org/officeDocument/2006/relationships/image" Target="../media/image17.png"/><Relationship Id="rId21" Type="http://schemas.openxmlformats.org/officeDocument/2006/relationships/customXml" Target="../ink/ink12.xml"/><Relationship Id="rId34" Type="http://schemas.openxmlformats.org/officeDocument/2006/relationships/customXml" Target="../ink/ink20.xml"/><Relationship Id="rId42" Type="http://schemas.openxmlformats.org/officeDocument/2006/relationships/customXml" Target="../ink/ink24.xm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0" Type="http://schemas.openxmlformats.org/officeDocument/2006/relationships/customXml" Target="../ink/ink11.xml"/><Relationship Id="rId29" Type="http://schemas.openxmlformats.org/officeDocument/2006/relationships/image" Target="../media/image12.png"/><Relationship Id="rId41" Type="http://schemas.openxmlformats.org/officeDocument/2006/relationships/image" Target="../media/image18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5.png"/><Relationship Id="rId24" Type="http://schemas.openxmlformats.org/officeDocument/2006/relationships/customXml" Target="../ink/ink15.xml"/><Relationship Id="rId32" Type="http://schemas.openxmlformats.org/officeDocument/2006/relationships/customXml" Target="../ink/ink19.xml"/><Relationship Id="rId37" Type="http://schemas.openxmlformats.org/officeDocument/2006/relationships/image" Target="../media/image16.png"/><Relationship Id="rId40" Type="http://schemas.openxmlformats.org/officeDocument/2006/relationships/customXml" Target="../ink/ink23.xml"/><Relationship Id="rId5" Type="http://schemas.openxmlformats.org/officeDocument/2006/relationships/image" Target="../media/image2.png"/><Relationship Id="rId15" Type="http://schemas.openxmlformats.org/officeDocument/2006/relationships/image" Target="../media/image7.png"/><Relationship Id="rId23" Type="http://schemas.openxmlformats.org/officeDocument/2006/relationships/customXml" Target="../ink/ink14.xml"/><Relationship Id="rId28" Type="http://schemas.openxmlformats.org/officeDocument/2006/relationships/customXml" Target="../ink/ink17.xml"/><Relationship Id="rId36" Type="http://schemas.openxmlformats.org/officeDocument/2006/relationships/customXml" Target="../ink/ink21.xml"/><Relationship Id="rId10" Type="http://schemas.openxmlformats.org/officeDocument/2006/relationships/customXml" Target="../ink/ink6.xml"/><Relationship Id="rId19" Type="http://schemas.openxmlformats.org/officeDocument/2006/relationships/image" Target="../media/image9.png"/><Relationship Id="rId31" Type="http://schemas.openxmlformats.org/officeDocument/2006/relationships/image" Target="../media/image13.png"/><Relationship Id="rId44" Type="http://schemas.openxmlformats.org/officeDocument/2006/relationships/customXml" Target="../ink/ink25.xml"/><Relationship Id="rId4" Type="http://schemas.openxmlformats.org/officeDocument/2006/relationships/customXml" Target="../ink/ink3.xml"/><Relationship Id="rId9" Type="http://schemas.openxmlformats.org/officeDocument/2006/relationships/image" Target="../media/image4.png"/><Relationship Id="rId14" Type="http://schemas.openxmlformats.org/officeDocument/2006/relationships/customXml" Target="../ink/ink8.xml"/><Relationship Id="rId22" Type="http://schemas.openxmlformats.org/officeDocument/2006/relationships/customXml" Target="../ink/ink13.xml"/><Relationship Id="rId27" Type="http://schemas.openxmlformats.org/officeDocument/2006/relationships/image" Target="../media/image11.png"/><Relationship Id="rId30" Type="http://schemas.openxmlformats.org/officeDocument/2006/relationships/customXml" Target="../ink/ink18.xml"/><Relationship Id="rId35" Type="http://schemas.openxmlformats.org/officeDocument/2006/relationships/image" Target="../media/image15.png"/><Relationship Id="rId43" Type="http://schemas.openxmlformats.org/officeDocument/2006/relationships/image" Target="../media/image19.png"/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5" Type="http://schemas.openxmlformats.org/officeDocument/2006/relationships/image" Target="../media/image10.png"/><Relationship Id="rId33" Type="http://schemas.openxmlformats.org/officeDocument/2006/relationships/image" Target="../media/image14.png"/><Relationship Id="rId38" Type="http://schemas.openxmlformats.org/officeDocument/2006/relationships/customXml" Target="../ink/ink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7.xml"/><Relationship Id="rId2" Type="http://schemas.openxmlformats.org/officeDocument/2006/relationships/image" Target="../media/image1.png"/><Relationship Id="rId1" Type="http://schemas.openxmlformats.org/officeDocument/2006/relationships/customXml" Target="../ink/ink26.xml"/><Relationship Id="rId6" Type="http://schemas.openxmlformats.org/officeDocument/2006/relationships/image" Target="../media/image21.png"/><Relationship Id="rId5" Type="http://schemas.openxmlformats.org/officeDocument/2006/relationships/customXml" Target="../ink/ink28.xml"/><Relationship Id="rId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34.xml"/><Relationship Id="rId13" Type="http://schemas.openxmlformats.org/officeDocument/2006/relationships/customXml" Target="../ink/ink38.xml"/><Relationship Id="rId18" Type="http://schemas.openxmlformats.org/officeDocument/2006/relationships/customXml" Target="../ink/ink41.xml"/><Relationship Id="rId26" Type="http://schemas.openxmlformats.org/officeDocument/2006/relationships/image" Target="../media/image29.png"/><Relationship Id="rId3" Type="http://schemas.openxmlformats.org/officeDocument/2006/relationships/customXml" Target="../ink/ink30.xml"/><Relationship Id="rId21" Type="http://schemas.openxmlformats.org/officeDocument/2006/relationships/customXml" Target="../ink/ink43.xml"/><Relationship Id="rId7" Type="http://schemas.openxmlformats.org/officeDocument/2006/relationships/customXml" Target="../ink/ink33.xml"/><Relationship Id="rId12" Type="http://schemas.openxmlformats.org/officeDocument/2006/relationships/image" Target="../media/image23.png"/><Relationship Id="rId17" Type="http://schemas.openxmlformats.org/officeDocument/2006/relationships/image" Target="../media/image25.png"/><Relationship Id="rId25" Type="http://schemas.openxmlformats.org/officeDocument/2006/relationships/customXml" Target="../ink/ink45.xml"/><Relationship Id="rId2" Type="http://schemas.openxmlformats.org/officeDocument/2006/relationships/image" Target="NULL"/><Relationship Id="rId16" Type="http://schemas.openxmlformats.org/officeDocument/2006/relationships/customXml" Target="../ink/ink40.xml"/><Relationship Id="rId20" Type="http://schemas.openxmlformats.org/officeDocument/2006/relationships/customXml" Target="../ink/ink42.xml"/><Relationship Id="rId1" Type="http://schemas.openxmlformats.org/officeDocument/2006/relationships/customXml" Target="../ink/ink29.xml"/><Relationship Id="rId6" Type="http://schemas.openxmlformats.org/officeDocument/2006/relationships/customXml" Target="../ink/ink32.xml"/><Relationship Id="rId11" Type="http://schemas.openxmlformats.org/officeDocument/2006/relationships/customXml" Target="../ink/ink37.xml"/><Relationship Id="rId24" Type="http://schemas.openxmlformats.org/officeDocument/2006/relationships/image" Target="../media/image28.png"/><Relationship Id="rId5" Type="http://schemas.openxmlformats.org/officeDocument/2006/relationships/customXml" Target="../ink/ink31.xml"/><Relationship Id="rId15" Type="http://schemas.openxmlformats.org/officeDocument/2006/relationships/image" Target="../media/image24.png"/><Relationship Id="rId23" Type="http://schemas.openxmlformats.org/officeDocument/2006/relationships/customXml" Target="../ink/ink44.xml"/><Relationship Id="rId10" Type="http://schemas.openxmlformats.org/officeDocument/2006/relationships/customXml" Target="../ink/ink36.xml"/><Relationship Id="rId19" Type="http://schemas.openxmlformats.org/officeDocument/2006/relationships/image" Target="../media/image26.png"/><Relationship Id="rId4" Type="http://schemas.openxmlformats.org/officeDocument/2006/relationships/image" Target="../media/image22.png"/><Relationship Id="rId9" Type="http://schemas.openxmlformats.org/officeDocument/2006/relationships/customXml" Target="../ink/ink35.xml"/><Relationship Id="rId14" Type="http://schemas.openxmlformats.org/officeDocument/2006/relationships/customXml" Target="../ink/ink39.xml"/><Relationship Id="rId22" Type="http://schemas.openxmlformats.org/officeDocument/2006/relationships/image" Target="../media/image27.png"/><Relationship Id="rId27" Type="http://schemas.openxmlformats.org/officeDocument/2006/relationships/customXml" Target="../ink/ink4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customXml" Target="../ink/ink48.xml"/><Relationship Id="rId7" Type="http://schemas.openxmlformats.org/officeDocument/2006/relationships/customXml" Target="../ink/ink51.xml"/><Relationship Id="rId12" Type="http://schemas.openxmlformats.org/officeDocument/2006/relationships/image" Target="../media/image32.png"/><Relationship Id="rId2" Type="http://schemas.openxmlformats.org/officeDocument/2006/relationships/image" Target="NULL"/><Relationship Id="rId1" Type="http://schemas.openxmlformats.org/officeDocument/2006/relationships/customXml" Target="../ink/ink47.xml"/><Relationship Id="rId6" Type="http://schemas.openxmlformats.org/officeDocument/2006/relationships/customXml" Target="../ink/ink50.xml"/><Relationship Id="rId11" Type="http://schemas.openxmlformats.org/officeDocument/2006/relationships/customXml" Target="../ink/ink53.xml"/><Relationship Id="rId5" Type="http://schemas.openxmlformats.org/officeDocument/2006/relationships/customXml" Target="../ink/ink49.xml"/><Relationship Id="rId10" Type="http://schemas.openxmlformats.org/officeDocument/2006/relationships/image" Target="../media/image31.png"/><Relationship Id="rId4" Type="http://schemas.openxmlformats.org/officeDocument/2006/relationships/image" Target="../media/image22.png"/><Relationship Id="rId9" Type="http://schemas.openxmlformats.org/officeDocument/2006/relationships/customXml" Target="../ink/ink5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0.png"/><Relationship Id="rId3" Type="http://schemas.openxmlformats.org/officeDocument/2006/relationships/customXml" Target="../ink/ink55.xml"/><Relationship Id="rId7" Type="http://schemas.openxmlformats.org/officeDocument/2006/relationships/customXml" Target="../ink/ink57.xml"/><Relationship Id="rId2" Type="http://schemas.openxmlformats.org/officeDocument/2006/relationships/image" Target="../media/image220.png"/><Relationship Id="rId1" Type="http://schemas.openxmlformats.org/officeDocument/2006/relationships/customXml" Target="../ink/ink54.xml"/><Relationship Id="rId6" Type="http://schemas.openxmlformats.org/officeDocument/2006/relationships/image" Target="../media/image310.png"/><Relationship Id="rId5" Type="http://schemas.openxmlformats.org/officeDocument/2006/relationships/customXml" Target="../ink/ink56.xml"/><Relationship Id="rId10" Type="http://schemas.openxmlformats.org/officeDocument/2006/relationships/image" Target="../media/image33.png"/><Relationship Id="rId4" Type="http://schemas.openxmlformats.org/officeDocument/2006/relationships/image" Target="../media/image300.png"/><Relationship Id="rId9" Type="http://schemas.openxmlformats.org/officeDocument/2006/relationships/customXml" Target="../ink/ink5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customXml" Target="../ink/ink59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6.xml"/><Relationship Id="rId26" Type="http://schemas.openxmlformats.org/officeDocument/2006/relationships/image" Target="../media/image45.png"/><Relationship Id="rId39" Type="http://schemas.openxmlformats.org/officeDocument/2006/relationships/customXml" Target="../ink/ink78.xml"/><Relationship Id="rId21" Type="http://schemas.openxmlformats.org/officeDocument/2006/relationships/customXml" Target="../ink/ink69.xml"/><Relationship Id="rId34" Type="http://schemas.openxmlformats.org/officeDocument/2006/relationships/image" Target="../media/image49.png"/><Relationship Id="rId42" Type="http://schemas.openxmlformats.org/officeDocument/2006/relationships/image" Target="../media/image54.png"/><Relationship Id="rId7" Type="http://schemas.openxmlformats.org/officeDocument/2006/relationships/customXml" Target="../ink/ink63.xml"/><Relationship Id="rId2" Type="http://schemas.openxmlformats.org/officeDocument/2006/relationships/image" Target="../media/image40.png"/><Relationship Id="rId16" Type="http://schemas.openxmlformats.org/officeDocument/2006/relationships/image" Target="../media/image39.png"/><Relationship Id="rId20" Type="http://schemas.openxmlformats.org/officeDocument/2006/relationships/image" Target="../media/image42.png"/><Relationship Id="rId29" Type="http://schemas.openxmlformats.org/officeDocument/2006/relationships/customXml" Target="../ink/ink73.xml"/><Relationship Id="rId41" Type="http://schemas.openxmlformats.org/officeDocument/2006/relationships/customXml" Target="../ink/ink79.xml"/><Relationship Id="rId1" Type="http://schemas.openxmlformats.org/officeDocument/2006/relationships/customXml" Target="../ink/ink60.xml"/><Relationship Id="rId6" Type="http://schemas.openxmlformats.org/officeDocument/2006/relationships/image" Target="../media/image170.png"/><Relationship Id="rId11" Type="http://schemas.openxmlformats.org/officeDocument/2006/relationships/customXml" Target="../ink/ink65.xml"/><Relationship Id="rId24" Type="http://schemas.openxmlformats.org/officeDocument/2006/relationships/image" Target="../media/image44.png"/><Relationship Id="rId32" Type="http://schemas.openxmlformats.org/officeDocument/2006/relationships/image" Target="../media/image48.png"/><Relationship Id="rId37" Type="http://schemas.openxmlformats.org/officeDocument/2006/relationships/customXml" Target="../ink/ink77.xml"/><Relationship Id="rId40" Type="http://schemas.openxmlformats.org/officeDocument/2006/relationships/image" Target="../media/image53.png"/><Relationship Id="rId45" Type="http://schemas.openxmlformats.org/officeDocument/2006/relationships/customXml" Target="../ink/ink81.xml"/><Relationship Id="rId5" Type="http://schemas.openxmlformats.org/officeDocument/2006/relationships/customXml" Target="../ink/ink62.xml"/><Relationship Id="rId15" Type="http://schemas.openxmlformats.org/officeDocument/2006/relationships/customXml" Target="../ink/ink67.xml"/><Relationship Id="rId23" Type="http://schemas.openxmlformats.org/officeDocument/2006/relationships/customXml" Target="../ink/ink70.xml"/><Relationship Id="rId28" Type="http://schemas.openxmlformats.org/officeDocument/2006/relationships/image" Target="../media/image46.png"/><Relationship Id="rId36" Type="http://schemas.openxmlformats.org/officeDocument/2006/relationships/image" Target="../media/image51.png"/><Relationship Id="rId10" Type="http://schemas.openxmlformats.org/officeDocument/2006/relationships/image" Target="../media/image36.png"/><Relationship Id="rId31" Type="http://schemas.openxmlformats.org/officeDocument/2006/relationships/customXml" Target="../ink/ink74.xml"/><Relationship Id="rId44" Type="http://schemas.openxmlformats.org/officeDocument/2006/relationships/image" Target="../media/image55.png"/><Relationship Id="rId4" Type="http://schemas.openxmlformats.org/officeDocument/2006/relationships/image" Target="../media/image50.png"/><Relationship Id="rId9" Type="http://schemas.openxmlformats.org/officeDocument/2006/relationships/customXml" Target="../ink/ink64.xml"/><Relationship Id="rId14" Type="http://schemas.openxmlformats.org/officeDocument/2006/relationships/image" Target="../media/image38.png"/><Relationship Id="rId22" Type="http://schemas.openxmlformats.org/officeDocument/2006/relationships/image" Target="../media/image43.png"/><Relationship Id="rId27" Type="http://schemas.openxmlformats.org/officeDocument/2006/relationships/customXml" Target="../ink/ink72.xml"/><Relationship Id="rId30" Type="http://schemas.openxmlformats.org/officeDocument/2006/relationships/image" Target="../media/image47.png"/><Relationship Id="rId35" Type="http://schemas.openxmlformats.org/officeDocument/2006/relationships/customXml" Target="../ink/ink76.xml"/><Relationship Id="rId43" Type="http://schemas.openxmlformats.org/officeDocument/2006/relationships/customXml" Target="../ink/ink80.xml"/><Relationship Id="rId8" Type="http://schemas.openxmlformats.org/officeDocument/2006/relationships/image" Target="../media/image35.png"/><Relationship Id="rId3" Type="http://schemas.openxmlformats.org/officeDocument/2006/relationships/customXml" Target="../ink/ink61.xml"/><Relationship Id="rId12" Type="http://schemas.openxmlformats.org/officeDocument/2006/relationships/image" Target="../media/image37.png"/><Relationship Id="rId17" Type="http://schemas.openxmlformats.org/officeDocument/2006/relationships/customXml" Target="../ink/ink68.xml"/><Relationship Id="rId25" Type="http://schemas.openxmlformats.org/officeDocument/2006/relationships/customXml" Target="../ink/ink71.xml"/><Relationship Id="rId33" Type="http://schemas.openxmlformats.org/officeDocument/2006/relationships/customXml" Target="../ink/ink75.xml"/><Relationship Id="rId38" Type="http://schemas.openxmlformats.org/officeDocument/2006/relationships/image" Target="../media/image52.png"/><Relationship Id="rId46" Type="http://schemas.openxmlformats.org/officeDocument/2006/relationships/image" Target="../media/image5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ustomXml" Target="../ink/ink83.xml"/><Relationship Id="rId2" Type="http://schemas.openxmlformats.org/officeDocument/2006/relationships/image" Target="NULL"/><Relationship Id="rId1" Type="http://schemas.openxmlformats.org/officeDocument/2006/relationships/customXml" Target="../ink/ink82.xml"/><Relationship Id="rId4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ustomXml" Target="../ink/ink85.xml"/><Relationship Id="rId21" Type="http://schemas.openxmlformats.org/officeDocument/2006/relationships/image" Target="NULL"/><Relationship Id="rId2" Type="http://schemas.openxmlformats.org/officeDocument/2006/relationships/image" Target="NULL"/><Relationship Id="rId1" Type="http://schemas.openxmlformats.org/officeDocument/2006/relationships/customXml" Target="../ink/ink84.xml"/><Relationship Id="rId4" Type="http://schemas.openxmlformats.org/officeDocument/2006/relationships/customXml" Target="../ink/ink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251160</xdr:colOff>
      <xdr:row>3</xdr:row>
      <xdr:rowOff>60840</xdr:rowOff>
    </xdr:from>
    <xdr:to>
      <xdr:col>7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30240</xdr:colOff>
      <xdr:row>2</xdr:row>
      <xdr:rowOff>45720</xdr:rowOff>
    </xdr:from>
    <xdr:to>
      <xdr:col>3</xdr:col>
      <xdr:colOff>30600</xdr:colOff>
      <xdr:row>2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14:cNvPr>
            <xdr14:cNvContentPartPr/>
          </xdr14:nvContentPartPr>
          <xdr14:nvPr macro=""/>
          <xdr14:xfrm>
            <a:off x="1859040" y="41148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50040" y="40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514980</xdr:colOff>
      <xdr:row>0</xdr:row>
      <xdr:rowOff>163440</xdr:rowOff>
    </xdr:from>
    <xdr:to>
      <xdr:col>8</xdr:col>
      <xdr:colOff>282300</xdr:colOff>
      <xdr:row>9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14:cNvPr>
            <xdr14:cNvContentPartPr/>
          </xdr14:nvContentPartPr>
          <xdr14:nvPr macro=""/>
          <xdr14:xfrm>
            <a:off x="4881240" y="163440"/>
            <a:ext cx="376920" cy="17150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72600" y="154800"/>
              <a:ext cx="394560" cy="173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60720</xdr:colOff>
      <xdr:row>2</xdr:row>
      <xdr:rowOff>29520</xdr:rowOff>
    </xdr:from>
    <xdr:to>
      <xdr:col>11</xdr:col>
      <xdr:colOff>10200</xdr:colOff>
      <xdr:row>25</xdr:row>
      <xdr:rowOff>130380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14:cNvPr>
            <xdr14:cNvContentPartPr/>
          </xdr14:nvContentPartPr>
          <xdr14:nvPr macro=""/>
          <xdr14:xfrm>
            <a:off x="6255780" y="395280"/>
            <a:ext cx="559080" cy="43909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47140" y="386640"/>
              <a:ext cx="576720" cy="440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135780</xdr:colOff>
      <xdr:row>3</xdr:row>
      <xdr:rowOff>14400</xdr:rowOff>
    </xdr:from>
    <xdr:to>
      <xdr:col>8</xdr:col>
      <xdr:colOff>122820</xdr:colOff>
      <xdr:row>23</xdr:row>
      <xdr:rowOff>99780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14:cNvPr>
            <xdr14:cNvContentPartPr/>
          </xdr14:nvContentPartPr>
          <xdr14:nvPr macro=""/>
          <xdr14:xfrm>
            <a:off x="3282840" y="563040"/>
            <a:ext cx="1815840" cy="38268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73840" y="554400"/>
              <a:ext cx="1833480" cy="38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500820</xdr:colOff>
      <xdr:row>2</xdr:row>
      <xdr:rowOff>22680</xdr:rowOff>
    </xdr:from>
    <xdr:to>
      <xdr:col>12</xdr:col>
      <xdr:colOff>493860</xdr:colOff>
      <xdr:row>24</xdr:row>
      <xdr:rowOff>155940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14:cNvPr>
            <xdr14:cNvContentPartPr/>
          </xdr14:nvContentPartPr>
          <xdr14:nvPr macro=""/>
          <xdr14:xfrm>
            <a:off x="7305480" y="388440"/>
            <a:ext cx="602640" cy="42404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287480" y="370440"/>
              <a:ext cx="638280" cy="427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386340</xdr:colOff>
      <xdr:row>1</xdr:row>
      <xdr:rowOff>136800</xdr:rowOff>
    </xdr:from>
    <xdr:to>
      <xdr:col>12</xdr:col>
      <xdr:colOff>48540</xdr:colOff>
      <xdr:row>3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14:cNvPr>
            <xdr14:cNvContentPartPr/>
          </xdr14:nvContentPartPr>
          <xdr14:nvPr macro=""/>
          <xdr14:xfrm>
            <a:off x="7191000" y="319680"/>
            <a:ext cx="271800" cy="2520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173000" y="302040"/>
              <a:ext cx="30744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466020</xdr:colOff>
      <xdr:row>6</xdr:row>
      <xdr:rowOff>54360</xdr:rowOff>
    </xdr:from>
    <xdr:to>
      <xdr:col>16</xdr:col>
      <xdr:colOff>487980</xdr:colOff>
      <xdr:row>13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14:cNvPr>
            <xdr14:cNvContentPartPr/>
          </xdr14:nvContentPartPr>
          <xdr14:nvPr macro=""/>
          <xdr14:xfrm>
            <a:off x="8489880" y="1151640"/>
            <a:ext cx="1850760" cy="13579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471880" y="1134000"/>
              <a:ext cx="1886400" cy="139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206820</xdr:colOff>
      <xdr:row>1</xdr:row>
      <xdr:rowOff>122040</xdr:rowOff>
    </xdr:from>
    <xdr:to>
      <xdr:col>17</xdr:col>
      <xdr:colOff>58380</xdr:colOff>
      <xdr:row>5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14:cNvPr>
            <xdr14:cNvContentPartPr/>
          </xdr14:nvContentPartPr>
          <xdr14:nvPr macro=""/>
          <xdr14:xfrm>
            <a:off x="8230680" y="304920"/>
            <a:ext cx="2289960" cy="6364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212680" y="287280"/>
              <a:ext cx="2325600" cy="67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82500</xdr:colOff>
      <xdr:row>10</xdr:row>
      <xdr:rowOff>152280</xdr:rowOff>
    </xdr:from>
    <xdr:to>
      <xdr:col>8</xdr:col>
      <xdr:colOff>541860</xdr:colOff>
      <xdr:row>26</xdr:row>
      <xdr:rowOff>109800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14:cNvPr>
            <xdr14:cNvContentPartPr/>
          </xdr14:nvContentPartPr>
          <xdr14:nvPr macro=""/>
          <xdr14:xfrm>
            <a:off x="5058360" y="1981080"/>
            <a:ext cx="459360" cy="28836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049360" y="1972080"/>
              <a:ext cx="477000" cy="29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60720</xdr:colOff>
      <xdr:row>11</xdr:row>
      <xdr:rowOff>68400</xdr:rowOff>
    </xdr:from>
    <xdr:to>
      <xdr:col>1</xdr:col>
      <xdr:colOff>61080</xdr:colOff>
      <xdr:row>11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60720</xdr:colOff>
      <xdr:row>15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19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23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356640</xdr:colOff>
      <xdr:row>37</xdr:row>
      <xdr:rowOff>134040</xdr:rowOff>
    </xdr:from>
    <xdr:to>
      <xdr:col>9</xdr:col>
      <xdr:colOff>99240</xdr:colOff>
      <xdr:row>40</xdr:row>
      <xdr:rowOff>146640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14:cNvPr>
            <xdr14:cNvContentPartPr/>
          </xdr14:nvContentPartPr>
          <xdr14:nvPr macro=""/>
          <xdr14:xfrm>
            <a:off x="4113300" y="6900600"/>
            <a:ext cx="1571400" cy="5612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95300" y="6882600"/>
              <a:ext cx="1607040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352680</xdr:colOff>
      <xdr:row>35</xdr:row>
      <xdr:rowOff>125760</xdr:rowOff>
    </xdr:from>
    <xdr:to>
      <xdr:col>13</xdr:col>
      <xdr:colOff>37560</xdr:colOff>
      <xdr:row>38</xdr:row>
      <xdr:rowOff>148800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14:cNvPr>
            <xdr14:cNvContentPartPr/>
          </xdr14:nvContentPartPr>
          <xdr14:nvPr macro=""/>
          <xdr14:xfrm>
            <a:off x="5938140" y="6526560"/>
            <a:ext cx="2123280" cy="57168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920143" y="6508920"/>
              <a:ext cx="2158914" cy="60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457080</xdr:colOff>
      <xdr:row>41</xdr:row>
      <xdr:rowOff>13440</xdr:rowOff>
    </xdr:from>
    <xdr:to>
      <xdr:col>9</xdr:col>
      <xdr:colOff>276720</xdr:colOff>
      <xdr:row>43</xdr:row>
      <xdr:rowOff>159240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14:cNvPr>
            <xdr14:cNvContentPartPr/>
          </xdr14:nvContentPartPr>
          <xdr14:nvPr macro=""/>
          <xdr14:xfrm>
            <a:off x="4213740" y="7511520"/>
            <a:ext cx="1648440" cy="5115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95740" y="7493880"/>
              <a:ext cx="1684080" cy="54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562560</xdr:colOff>
      <xdr:row>38</xdr:row>
      <xdr:rowOff>89040</xdr:rowOff>
    </xdr:from>
    <xdr:to>
      <xdr:col>12</xdr:col>
      <xdr:colOff>306600</xdr:colOff>
      <xdr:row>42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14:cNvPr>
            <xdr14:cNvContentPartPr/>
          </xdr14:nvContentPartPr>
          <xdr14:nvPr macro=""/>
          <xdr14:xfrm>
            <a:off x="6148020" y="7038480"/>
            <a:ext cx="1572840" cy="6649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30020" y="7020490"/>
              <a:ext cx="1608480" cy="700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356220</xdr:colOff>
      <xdr:row>30</xdr:row>
      <xdr:rowOff>124860</xdr:rowOff>
    </xdr:from>
    <xdr:to>
      <xdr:col>14</xdr:col>
      <xdr:colOff>382380</xdr:colOff>
      <xdr:row>33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14:cNvPr>
            <xdr14:cNvContentPartPr/>
          </xdr14:nvContentPartPr>
          <xdr14:nvPr macro=""/>
          <xdr14:xfrm>
            <a:off x="8380080" y="5611260"/>
            <a:ext cx="635760" cy="4406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362080" y="5593620"/>
              <a:ext cx="671400" cy="47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447660</xdr:colOff>
      <xdr:row>28</xdr:row>
      <xdr:rowOff>28740</xdr:rowOff>
    </xdr:from>
    <xdr:to>
      <xdr:col>19</xdr:col>
      <xdr:colOff>138780</xdr:colOff>
      <xdr:row>41</xdr:row>
      <xdr:rowOff>156900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14:cNvPr>
            <xdr14:cNvContentPartPr/>
          </xdr14:nvContentPartPr>
          <xdr14:nvPr macro=""/>
          <xdr14:xfrm>
            <a:off x="8471520" y="5149380"/>
            <a:ext cx="3348720" cy="25056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453522" y="5131380"/>
              <a:ext cx="3384356" cy="254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106020</xdr:colOff>
      <xdr:row>25</xdr:row>
      <xdr:rowOff>67980</xdr:rowOff>
    </xdr:from>
    <xdr:to>
      <xdr:col>20</xdr:col>
      <xdr:colOff>90420</xdr:colOff>
      <xdr:row>43</xdr:row>
      <xdr:rowOff>92820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14:cNvPr>
            <xdr14:cNvContentPartPr/>
          </xdr14:nvContentPartPr>
          <xdr14:nvPr macro=""/>
          <xdr14:xfrm>
            <a:off x="8129880" y="4639980"/>
            <a:ext cx="4251600" cy="331668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112239" y="4622340"/>
              <a:ext cx="4287243" cy="335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7560</xdr:colOff>
      <xdr:row>31</xdr:row>
      <xdr:rowOff>172080</xdr:rowOff>
    </xdr:from>
    <xdr:to>
      <xdr:col>13</xdr:col>
      <xdr:colOff>146040</xdr:colOff>
      <xdr:row>46</xdr:row>
      <xdr:rowOff>47880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14:cNvPr>
            <xdr14:cNvContentPartPr/>
          </xdr14:nvContentPartPr>
          <xdr14:nvPr macro=""/>
          <xdr14:xfrm>
            <a:off x="3764220" y="5841360"/>
            <a:ext cx="4405680" cy="26190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46220" y="5823720"/>
              <a:ext cx="4441320" cy="265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358260</xdr:colOff>
      <xdr:row>10</xdr:row>
      <xdr:rowOff>150120</xdr:rowOff>
    </xdr:from>
    <xdr:to>
      <xdr:col>21</xdr:col>
      <xdr:colOff>579900</xdr:colOff>
      <xdr:row>21</xdr:row>
      <xdr:rowOff>22320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14:cNvPr>
            <xdr14:cNvContentPartPr/>
          </xdr14:nvContentPartPr>
          <xdr14:nvPr macro=""/>
          <xdr14:xfrm>
            <a:off x="10820520" y="1978920"/>
            <a:ext cx="2660040" cy="1883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814399" y="1972800"/>
              <a:ext cx="2672282" cy="1896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295260</xdr:colOff>
      <xdr:row>10</xdr:row>
      <xdr:rowOff>146520</xdr:rowOff>
    </xdr:from>
    <xdr:to>
      <xdr:col>22</xdr:col>
      <xdr:colOff>127260</xdr:colOff>
      <xdr:row>19</xdr:row>
      <xdr:rowOff>120600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F1695827-D869-5A03-A3E2-D5E55177BD41}"/>
            </a:ext>
          </a:extLst>
        </xdr:cNvPr>
        <xdr:cNvSpPr/>
      </xdr:nvSpPr>
      <xdr:spPr>
        <a:xfrm>
          <a:off x="10757520" y="1975320"/>
          <a:ext cx="2880000" cy="1620000"/>
        </a:xfrm>
        <a:prstGeom prst="rect">
          <a:avLst/>
        </a:prstGeom>
        <a:solidFill>
          <a:srgbClr val="F6630D">
            <a:alpha val="5000"/>
          </a:srgbClr>
        </a:solidFill>
        <a:ln w="12600">
          <a:solidFill>
            <a:srgbClr val="F6630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6630D"/>
            </a:solidFill>
          </a:endParaRPr>
        </a:p>
      </xdr:txBody>
    </xdr:sp>
    <xdr:clientData/>
  </xdr:twoCellAnchor>
  <xdr:twoCellAnchor editAs="oneCell">
    <xdr:from>
      <xdr:col>15</xdr:col>
      <xdr:colOff>182820</xdr:colOff>
      <xdr:row>16</xdr:row>
      <xdr:rowOff>152280</xdr:rowOff>
    </xdr:from>
    <xdr:to>
      <xdr:col>15</xdr:col>
      <xdr:colOff>183180</xdr:colOff>
      <xdr:row>16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14:cNvPr>
            <xdr14:cNvContentPartPr/>
          </xdr14:nvContentPartPr>
          <xdr14:nvPr macro=""/>
          <xdr14:xfrm>
            <a:off x="9425880" y="3078360"/>
            <a:ext cx="360" cy="36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419760" y="3072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358020</xdr:colOff>
      <xdr:row>26</xdr:row>
      <xdr:rowOff>53280</xdr:rowOff>
    </xdr:from>
    <xdr:to>
      <xdr:col>22</xdr:col>
      <xdr:colOff>358380</xdr:colOff>
      <xdr:row>26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14:cNvPr>
            <xdr14:cNvContentPartPr/>
          </xdr14:nvContentPartPr>
          <xdr14:nvPr macro=""/>
          <xdr14:xfrm>
            <a:off x="13868280" y="4808160"/>
            <a:ext cx="360" cy="3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862160" y="4802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251160</xdr:colOff>
      <xdr:row>3</xdr:row>
      <xdr:rowOff>60840</xdr:rowOff>
    </xdr:from>
    <xdr:to>
      <xdr:col>1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406760</xdr:colOff>
      <xdr:row>7</xdr:row>
      <xdr:rowOff>129362</xdr:rowOff>
    </xdr:from>
    <xdr:to>
      <xdr:col>3</xdr:col>
      <xdr:colOff>931333</xdr:colOff>
      <xdr:row>17</xdr:row>
      <xdr:rowOff>137861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14:cNvPr>
            <xdr14:cNvContentPartPr/>
          </xdr14:nvContentPartPr>
          <xdr14:nvPr macro=""/>
          <xdr14:xfrm>
            <a:off x="406760" y="3008029"/>
            <a:ext cx="3293173" cy="2286032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0960" y="1805760"/>
              <a:ext cx="4855680" cy="342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15240</xdr:colOff>
      <xdr:row>9</xdr:row>
      <xdr:rowOff>121680</xdr:rowOff>
    </xdr:from>
    <xdr:to>
      <xdr:col>5</xdr:col>
      <xdr:colOff>15600</xdr:colOff>
      <xdr:row>9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14:cNvPr>
            <xdr14:cNvContentPartPr/>
          </xdr14:nvContentPartPr>
          <xdr14:nvPr macro=""/>
          <xdr14:xfrm>
            <a:off x="3063240" y="2041920"/>
            <a:ext cx="36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45240" y="20239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0ECBC97-0709-4D01-8941-093B7D8D1B6C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1211400</xdr:colOff>
      <xdr:row>28</xdr:row>
      <xdr:rowOff>160020</xdr:rowOff>
    </xdr:from>
    <xdr:to>
      <xdr:col>2</xdr:col>
      <xdr:colOff>1211760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14:cNvPr>
            <xdr14:cNvContentPartPr/>
          </xdr14:nvContentPartPr>
          <xdr14:nvPr macro=""/>
          <xdr14:xfrm>
            <a:off x="3451680" y="73152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4268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1097280</xdr:colOff>
      <xdr:row>28</xdr:row>
      <xdr:rowOff>167580</xdr:rowOff>
    </xdr:from>
    <xdr:to>
      <xdr:col>2</xdr:col>
      <xdr:colOff>1097640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14:cNvPr>
            <xdr14:cNvContentPartPr/>
          </xdr14:nvContentPartPr>
          <xdr14:nvPr macro=""/>
          <xdr14:xfrm>
            <a:off x="3337560" y="732276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2856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952200</xdr:colOff>
      <xdr:row>28</xdr:row>
      <xdr:rowOff>167580</xdr:rowOff>
    </xdr:from>
    <xdr:to>
      <xdr:col>2</xdr:col>
      <xdr:colOff>952560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14:cNvPr>
            <xdr14:cNvContentPartPr/>
          </xdr14:nvContentPartPr>
          <xdr14:nvPr macro=""/>
          <xdr14:xfrm>
            <a:off x="3192480" y="732276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8384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815040</xdr:colOff>
      <xdr:row>28</xdr:row>
      <xdr:rowOff>152100</xdr:rowOff>
    </xdr:from>
    <xdr:to>
      <xdr:col>2</xdr:col>
      <xdr:colOff>815400</xdr:colOff>
      <xdr:row>28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14:cNvPr>
            <xdr14:cNvContentPartPr/>
          </xdr14:nvContentPartPr>
          <xdr14:nvPr macro=""/>
          <xdr14:xfrm>
            <a:off x="3055320" y="73072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46680" y="7298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693360</xdr:colOff>
      <xdr:row>28</xdr:row>
      <xdr:rowOff>144540</xdr:rowOff>
    </xdr:from>
    <xdr:to>
      <xdr:col>2</xdr:col>
      <xdr:colOff>693720</xdr:colOff>
      <xdr:row>28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14:cNvPr>
            <xdr14:cNvContentPartPr/>
          </xdr14:nvContentPartPr>
          <xdr14:nvPr macro=""/>
          <xdr14:xfrm>
            <a:off x="2933640" y="729972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24640" y="729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495000</xdr:colOff>
      <xdr:row>28</xdr:row>
      <xdr:rowOff>160020</xdr:rowOff>
    </xdr:from>
    <xdr:to>
      <xdr:col>2</xdr:col>
      <xdr:colOff>495360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14:cNvPr>
            <xdr14:cNvContentPartPr/>
          </xdr14:nvContentPartPr>
          <xdr14:nvPr macro=""/>
          <xdr14:xfrm>
            <a:off x="2735280" y="731520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2664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373320</xdr:colOff>
      <xdr:row>28</xdr:row>
      <xdr:rowOff>167580</xdr:rowOff>
    </xdr:from>
    <xdr:to>
      <xdr:col>2</xdr:col>
      <xdr:colOff>373680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14:cNvPr>
            <xdr14:cNvContentPartPr/>
          </xdr14:nvContentPartPr>
          <xdr14:nvPr macro=""/>
          <xdr14:xfrm>
            <a:off x="2613600" y="732276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0460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2619360</xdr:colOff>
      <xdr:row>29</xdr:row>
      <xdr:rowOff>191940</xdr:rowOff>
    </xdr:from>
    <xdr:to>
      <xdr:col>3</xdr:col>
      <xdr:colOff>7800</xdr:colOff>
      <xdr:row>30</xdr:row>
      <xdr:rowOff>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14:cNvPr>
            <xdr14:cNvContentPartPr/>
          </xdr14:nvContentPartPr>
          <xdr14:nvPr macro=""/>
          <xdr14:xfrm>
            <a:off x="4859640" y="7636680"/>
            <a:ext cx="9720" cy="64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851000" y="7627680"/>
              <a:ext cx="2736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1325880</xdr:colOff>
      <xdr:row>29</xdr:row>
      <xdr:rowOff>152340</xdr:rowOff>
    </xdr:from>
    <xdr:to>
      <xdr:col>3</xdr:col>
      <xdr:colOff>1630</xdr:colOff>
      <xdr:row>29</xdr:row>
      <xdr:rowOff>152700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14:cNvPr>
            <xdr14:cNvContentPartPr/>
          </xdr14:nvContentPartPr>
          <xdr14:nvPr macro=""/>
          <xdr14:xfrm>
            <a:off x="3566160" y="759708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57160" y="7588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1173240</xdr:colOff>
      <xdr:row>29</xdr:row>
      <xdr:rowOff>167460</xdr:rowOff>
    </xdr:from>
    <xdr:to>
      <xdr:col>2</xdr:col>
      <xdr:colOff>1173600</xdr:colOff>
      <xdr:row>29</xdr:row>
      <xdr:rowOff>169260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14:cNvPr>
            <xdr14:cNvContentPartPr/>
          </xdr14:nvContentPartPr>
          <xdr14:nvPr macro=""/>
          <xdr14:xfrm>
            <a:off x="3413520" y="7612200"/>
            <a:ext cx="360" cy="18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04880" y="7603200"/>
              <a:ext cx="180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967680</xdr:colOff>
      <xdr:row>29</xdr:row>
      <xdr:rowOff>175020</xdr:rowOff>
    </xdr:from>
    <xdr:to>
      <xdr:col>2</xdr:col>
      <xdr:colOff>974160</xdr:colOff>
      <xdr:row>30</xdr:row>
      <xdr:rowOff>2198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14:cNvPr>
            <xdr14:cNvContentPartPr/>
          </xdr14:nvContentPartPr>
          <xdr14:nvPr macro=""/>
          <xdr14:xfrm>
            <a:off x="3207960" y="7619760"/>
            <a:ext cx="648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98960" y="761112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769320</xdr:colOff>
      <xdr:row>29</xdr:row>
      <xdr:rowOff>167460</xdr:rowOff>
    </xdr:from>
    <xdr:to>
      <xdr:col>2</xdr:col>
      <xdr:colOff>775800</xdr:colOff>
      <xdr:row>29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14:cNvPr>
            <xdr14:cNvContentPartPr/>
          </xdr14:nvContentPartPr>
          <xdr14:nvPr macro=""/>
          <xdr14:xfrm>
            <a:off x="3009600" y="7612200"/>
            <a:ext cx="648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00960" y="760320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655200</xdr:colOff>
      <xdr:row>29</xdr:row>
      <xdr:rowOff>182580</xdr:rowOff>
    </xdr:from>
    <xdr:to>
      <xdr:col>2</xdr:col>
      <xdr:colOff>655560</xdr:colOff>
      <xdr:row>30</xdr:row>
      <xdr:rowOff>2138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14:cNvPr>
            <xdr14:cNvContentPartPr/>
          </xdr14:nvContentPartPr>
          <xdr14:nvPr macro=""/>
          <xdr14:xfrm>
            <a:off x="2895480" y="76273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86480" y="7618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1455360</xdr:colOff>
      <xdr:row>26</xdr:row>
      <xdr:rowOff>68460</xdr:rowOff>
    </xdr:from>
    <xdr:to>
      <xdr:col>1</xdr:col>
      <xdr:colOff>1485960</xdr:colOff>
      <xdr:row>26</xdr:row>
      <xdr:rowOff>113100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14:cNvPr>
            <xdr14:cNvContentPartPr/>
          </xdr14:nvContentPartPr>
          <xdr14:nvPr macro=""/>
          <xdr14:xfrm>
            <a:off x="2064960" y="6690240"/>
            <a:ext cx="30600" cy="446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56320" y="6681240"/>
              <a:ext cx="482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1909080</xdr:colOff>
      <xdr:row>30</xdr:row>
      <xdr:rowOff>129540</xdr:rowOff>
    </xdr:from>
    <xdr:to>
      <xdr:col>3</xdr:col>
      <xdr:colOff>420</xdr:colOff>
      <xdr:row>30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14:cNvPr>
            <xdr14:cNvContentPartPr/>
          </xdr14:nvContentPartPr>
          <xdr14:nvPr macro=""/>
          <xdr14:xfrm>
            <a:off x="4149360" y="7863840"/>
            <a:ext cx="39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140360" y="7854840"/>
              <a:ext cx="21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408480</xdr:colOff>
      <xdr:row>11</xdr:row>
      <xdr:rowOff>12207</xdr:rowOff>
    </xdr:from>
    <xdr:to>
      <xdr:col>6</xdr:col>
      <xdr:colOff>1421880</xdr:colOff>
      <xdr:row>14</xdr:row>
      <xdr:rowOff>34822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14:cNvPr>
            <xdr14:cNvContentPartPr/>
          </xdr14:nvContentPartPr>
          <xdr14:nvPr macro=""/>
          <xdr14:xfrm>
            <a:off x="7134862" y="1986480"/>
            <a:ext cx="1013400" cy="5421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126222" y="1977840"/>
              <a:ext cx="1031040" cy="55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118058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2BFE423-7594-4B7B-87A8-8670B67BCA47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EE571C3-51FF-45A3-9E74-24839711ACC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5800</xdr:colOff>
      <xdr:row>1</xdr:row>
      <xdr:rowOff>96190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007F918-89E6-447A-9246-41D945341A20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214407</xdr:colOff>
      <xdr:row>19</xdr:row>
      <xdr:rowOff>117698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50CE152-6669-47E5-835A-3FBEBF840C8D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665880</xdr:colOff>
      <xdr:row>25</xdr:row>
      <xdr:rowOff>7620</xdr:rowOff>
    </xdr:from>
    <xdr:to>
      <xdr:col>7</xdr:col>
      <xdr:colOff>301930</xdr:colOff>
      <xdr:row>29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14:cNvPr>
            <xdr14:cNvContentPartPr/>
          </xdr14:nvContentPartPr>
          <xdr14:nvPr macro=""/>
          <xdr14:xfrm>
            <a:off x="4384440" y="2811780"/>
            <a:ext cx="4550950" cy="833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375440" y="2802783"/>
              <a:ext cx="4568591" cy="850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343320</xdr:colOff>
      <xdr:row>22</xdr:row>
      <xdr:rowOff>53340</xdr:rowOff>
    </xdr:from>
    <xdr:to>
      <xdr:col>3</xdr:col>
      <xdr:colOff>266700</xdr:colOff>
      <xdr:row>34</xdr:row>
      <xdr:rowOff>78114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14:cNvPr>
            <xdr14:cNvContentPartPr/>
          </xdr14:nvContentPartPr>
          <xdr14:nvPr macro=""/>
          <xdr14:xfrm>
            <a:off x="343320" y="2263140"/>
            <a:ext cx="3641940" cy="2402214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34320" y="2254140"/>
              <a:ext cx="3659581" cy="2419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50640</xdr:colOff>
      <xdr:row>1</xdr:row>
      <xdr:rowOff>15000</xdr:rowOff>
    </xdr:from>
    <xdr:to>
      <xdr:col>10</xdr:col>
      <xdr:colOff>1425840</xdr:colOff>
      <xdr:row>24</xdr:row>
      <xdr:rowOff>153240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14:cNvPr>
            <xdr14:cNvContentPartPr/>
          </xdr14:nvContentPartPr>
          <xdr14:nvPr macro=""/>
          <xdr14:xfrm>
            <a:off x="12776040" y="213120"/>
            <a:ext cx="1375200" cy="47559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767400" y="204480"/>
              <a:ext cx="1392840" cy="477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502680</xdr:colOff>
      <xdr:row>3</xdr:row>
      <xdr:rowOff>60900</xdr:rowOff>
    </xdr:from>
    <xdr:to>
      <xdr:col>4</xdr:col>
      <xdr:colOff>503040</xdr:colOff>
      <xdr:row>3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2DE523-A4BF-4B2E-B3BC-B5AFF50C1CC1}"/>
                </a:ext>
              </a:extLst>
            </xdr14:cNvPr>
            <xdr14:cNvContentPartPr/>
          </xdr14:nvContentPartPr>
          <xdr14:nvPr macro=""/>
          <xdr14:xfrm>
            <a:off x="4647960" y="739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0DB6F0D-492A-42E4-A7CB-228CB901F7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38960" y="730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363900</xdr:colOff>
      <xdr:row>16</xdr:row>
      <xdr:rowOff>143417</xdr:rowOff>
    </xdr:from>
    <xdr:to>
      <xdr:col>8</xdr:col>
      <xdr:colOff>673140</xdr:colOff>
      <xdr:row>17</xdr:row>
      <xdr:rowOff>244500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14:cNvPr>
            <xdr14:cNvContentPartPr/>
          </xdr14:nvContentPartPr>
          <xdr14:nvPr macro=""/>
          <xdr14:xfrm>
            <a:off x="7496220" y="3496217"/>
            <a:ext cx="1223640" cy="291583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55317" y="-17633"/>
              <a:ext cx="1241285" cy="3092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90360</xdr:colOff>
      <xdr:row>1</xdr:row>
      <xdr:rowOff>60840</xdr:rowOff>
    </xdr:from>
    <xdr:to>
      <xdr:col>9</xdr:col>
      <xdr:colOff>554760</xdr:colOff>
      <xdr:row>18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14:cNvPr>
            <xdr14:cNvContentPartPr/>
          </xdr14:nvContentPartPr>
          <xdr14:nvPr macro=""/>
          <xdr14:xfrm>
            <a:off x="9783000" y="243720"/>
            <a:ext cx="464400" cy="3627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74000" y="234720"/>
              <a:ext cx="482040" cy="36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61200</xdr:colOff>
      <xdr:row>1</xdr:row>
      <xdr:rowOff>55800</xdr:rowOff>
    </xdr:from>
    <xdr:to>
      <xdr:col>11</xdr:col>
      <xdr:colOff>856020</xdr:colOff>
      <xdr:row>22</xdr:row>
      <xdr:rowOff>79380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14:cNvPr>
            <xdr14:cNvContentPartPr/>
          </xdr14:nvContentPartPr>
          <xdr14:nvPr macro=""/>
          <xdr14:xfrm>
            <a:off x="9753840" y="238680"/>
            <a:ext cx="2585520" cy="44355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745200" y="229681"/>
              <a:ext cx="2603160" cy="44531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967680</xdr:colOff>
      <xdr:row>1</xdr:row>
      <xdr:rowOff>75960</xdr:rowOff>
    </xdr:from>
    <xdr:to>
      <xdr:col>13</xdr:col>
      <xdr:colOff>1031940</xdr:colOff>
      <xdr:row>21</xdr:row>
      <xdr:rowOff>108180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14:cNvPr>
            <xdr14:cNvContentPartPr/>
          </xdr14:nvContentPartPr>
          <xdr14:nvPr macro=""/>
          <xdr14:xfrm>
            <a:off x="12793920" y="258840"/>
            <a:ext cx="2098800" cy="42156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75923" y="241200"/>
              <a:ext cx="2134434" cy="425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721209</xdr:colOff>
      <xdr:row>24</xdr:row>
      <xdr:rowOff>224894</xdr:rowOff>
    </xdr:from>
    <xdr:to>
      <xdr:col>10</xdr:col>
      <xdr:colOff>150133</xdr:colOff>
      <xdr:row>31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14:cNvPr>
            <xdr14:cNvContentPartPr/>
          </xdr14:nvContentPartPr>
          <xdr14:nvPr macro=""/>
          <xdr14:xfrm>
            <a:off x="10153076" y="6371694"/>
            <a:ext cx="4407324" cy="1739373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06400" y="4917773"/>
              <a:ext cx="3795120" cy="171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292976</xdr:colOff>
      <xdr:row>8</xdr:row>
      <xdr:rowOff>270280</xdr:rowOff>
    </xdr:from>
    <xdr:to>
      <xdr:col>2</xdr:col>
      <xdr:colOff>1490710</xdr:colOff>
      <xdr:row>11</xdr:row>
      <xdr:rowOff>69072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36556A8-EE25-46D8-A67F-E5149CCE85FC}"/>
                </a:ext>
              </a:extLst>
            </xdr14:cNvPr>
            <xdr14:cNvContentPartPr/>
          </xdr14:nvContentPartPr>
          <xdr14:nvPr macro=""/>
          <xdr14:xfrm>
            <a:off x="2624696" y="1969540"/>
            <a:ext cx="1197734" cy="804632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08AF2BA-9210-61DE-F343-522B9BBF56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92600" y="1994324"/>
              <a:ext cx="1523520" cy="59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1560656</xdr:colOff>
      <xdr:row>7</xdr:row>
      <xdr:rowOff>66271</xdr:rowOff>
    </xdr:from>
    <xdr:to>
      <xdr:col>3</xdr:col>
      <xdr:colOff>315905</xdr:colOff>
      <xdr:row>9</xdr:row>
      <xdr:rowOff>106577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1E85FBF-501A-4509-9738-DA9B0E0730CA}"/>
                </a:ext>
              </a:extLst>
            </xdr14:cNvPr>
            <xdr14:cNvContentPartPr/>
          </xdr14:nvContentPartPr>
          <xdr14:nvPr macro=""/>
          <xdr14:xfrm>
            <a:off x="3892376" y="1559791"/>
            <a:ext cx="835509" cy="642286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B9FAE25-314A-9484-0E2A-D71C8403D9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677040" y="1653044"/>
              <a:ext cx="1065240" cy="53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601000</xdr:colOff>
      <xdr:row>9</xdr:row>
      <xdr:rowOff>68391</xdr:rowOff>
    </xdr:from>
    <xdr:to>
      <xdr:col>3</xdr:col>
      <xdr:colOff>419100</xdr:colOff>
      <xdr:row>17</xdr:row>
      <xdr:rowOff>66321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C47024D-BABA-4141-8B16-24A4295BE51A}"/>
                </a:ext>
              </a:extLst>
            </xdr14:cNvPr>
            <xdr14:cNvContentPartPr/>
          </xdr14:nvContentPartPr>
          <xdr14:nvPr macro=""/>
          <xdr14:xfrm>
            <a:off x="2932720" y="2163891"/>
            <a:ext cx="1898360" cy="181911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A411AE7-A265-C0E3-C3FE-2C48BF701C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07078" y="2309322"/>
              <a:ext cx="2081883" cy="1436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124832</xdr:colOff>
      <xdr:row>0</xdr:row>
      <xdr:rowOff>183420</xdr:rowOff>
    </xdr:from>
    <xdr:to>
      <xdr:col>1</xdr:col>
      <xdr:colOff>1120140</xdr:colOff>
      <xdr:row>5</xdr:row>
      <xdr:rowOff>66214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14:cNvPr>
            <xdr14:cNvContentPartPr/>
          </xdr14:nvContentPartPr>
          <xdr14:nvPr macro=""/>
          <xdr14:xfrm>
            <a:off x="124832" y="183420"/>
            <a:ext cx="1940188" cy="972454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7800" y="60120"/>
              <a:ext cx="2089800" cy="10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152280</xdr:colOff>
      <xdr:row>8</xdr:row>
      <xdr:rowOff>360000</xdr:rowOff>
    </xdr:from>
    <xdr:to>
      <xdr:col>1</xdr:col>
      <xdr:colOff>289560</xdr:colOff>
      <xdr:row>10</xdr:row>
      <xdr:rowOff>129878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14:cNvPr>
            <xdr14:cNvContentPartPr/>
          </xdr14:nvContentPartPr>
          <xdr14:nvPr macro=""/>
          <xdr14:xfrm>
            <a:off x="152280" y="2059260"/>
            <a:ext cx="1082160" cy="364238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563" y="2225880"/>
              <a:ext cx="980273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132480</xdr:colOff>
      <xdr:row>6</xdr:row>
      <xdr:rowOff>95040</xdr:rowOff>
    </xdr:from>
    <xdr:to>
      <xdr:col>1</xdr:col>
      <xdr:colOff>612538</xdr:colOff>
      <xdr:row>8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14:cNvPr>
            <xdr14:cNvContentPartPr/>
          </xdr14:nvContentPartPr>
          <xdr14:nvPr macro=""/>
          <xdr14:xfrm>
            <a:off x="132480" y="1382820"/>
            <a:ext cx="1424938" cy="463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7760" y="1549080"/>
              <a:ext cx="1285200" cy="48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119519</xdr:colOff>
      <xdr:row>12</xdr:row>
      <xdr:rowOff>29940</xdr:rowOff>
    </xdr:from>
    <xdr:to>
      <xdr:col>1</xdr:col>
      <xdr:colOff>61330</xdr:colOff>
      <xdr:row>13</xdr:row>
      <xdr:rowOff>99600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14:cNvPr>
            <xdr14:cNvContentPartPr/>
          </xdr14:nvContentPartPr>
          <xdr14:nvPr macro=""/>
          <xdr14:xfrm>
            <a:off x="119519" y="2933160"/>
            <a:ext cx="886691" cy="275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5156" y="2894051"/>
              <a:ext cx="806408" cy="29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418189</xdr:colOff>
      <xdr:row>18</xdr:row>
      <xdr:rowOff>113089</xdr:rowOff>
    </xdr:from>
    <xdr:to>
      <xdr:col>0</xdr:col>
      <xdr:colOff>465611</xdr:colOff>
      <xdr:row>18</xdr:row>
      <xdr:rowOff>160511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14:cNvPr>
            <xdr14:cNvContentPartPr/>
          </xdr14:nvContentPartPr>
          <xdr14:nvPr macro=""/>
          <xdr14:xfrm rot="5400000">
            <a:off x="418189" y="4022149"/>
            <a:ext cx="47422" cy="47422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 rot="5400000">
              <a:off x="409139" y="4013461"/>
              <a:ext cx="6516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111239</xdr:colOff>
      <xdr:row>14</xdr:row>
      <xdr:rowOff>99060</xdr:rowOff>
    </xdr:from>
    <xdr:to>
      <xdr:col>1</xdr:col>
      <xdr:colOff>489718</xdr:colOff>
      <xdr:row>17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14:cNvPr>
            <xdr14:cNvContentPartPr/>
          </xdr14:nvContentPartPr>
          <xdr14:nvPr macro=""/>
          <xdr14:xfrm>
            <a:off x="111239" y="3413760"/>
            <a:ext cx="1323359" cy="691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6880" y="3374280"/>
              <a:ext cx="1194840" cy="70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274320</xdr:colOff>
      <xdr:row>16</xdr:row>
      <xdr:rowOff>76080</xdr:rowOff>
    </xdr:from>
    <xdr:to>
      <xdr:col>0</xdr:col>
      <xdr:colOff>666876</xdr:colOff>
      <xdr:row>18</xdr:row>
      <xdr:rowOff>204720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14:cNvPr>
            <xdr14:cNvContentPartPr/>
          </xdr14:nvContentPartPr>
          <xdr14:nvPr macro=""/>
          <xdr14:xfrm>
            <a:off x="274320" y="3794640"/>
            <a:ext cx="392556" cy="524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19600" y="3755160"/>
              <a:ext cx="366840" cy="54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373844</xdr:colOff>
      <xdr:row>6</xdr:row>
      <xdr:rowOff>27273</xdr:rowOff>
    </xdr:from>
    <xdr:to>
      <xdr:col>5</xdr:col>
      <xdr:colOff>549524</xdr:colOff>
      <xdr:row>6</xdr:row>
      <xdr:rowOff>55713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14:cNvPr>
            <xdr14:cNvContentPartPr/>
          </xdr14:nvContentPartPr>
          <xdr14:nvPr macro=""/>
          <xdr14:xfrm>
            <a:off x="7411953" y="1322673"/>
            <a:ext cx="175680" cy="284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394313" y="1304673"/>
              <a:ext cx="21132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1178335</xdr:colOff>
      <xdr:row>6</xdr:row>
      <xdr:rowOff>3873</xdr:rowOff>
    </xdr:from>
    <xdr:to>
      <xdr:col>5</xdr:col>
      <xdr:colOff>181964</xdr:colOff>
      <xdr:row>6</xdr:row>
      <xdr:rowOff>180993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14:cNvPr>
            <xdr14:cNvContentPartPr/>
          </xdr14:nvContentPartPr>
          <xdr14:nvPr macro=""/>
          <xdr14:xfrm>
            <a:off x="7024953" y="1299273"/>
            <a:ext cx="195120" cy="1771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006953" y="1281273"/>
              <a:ext cx="2307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441055</xdr:colOff>
      <xdr:row>5</xdr:row>
      <xdr:rowOff>145004</xdr:rowOff>
    </xdr:from>
    <xdr:to>
      <xdr:col>4</xdr:col>
      <xdr:colOff>861895</xdr:colOff>
      <xdr:row>6</xdr:row>
      <xdr:rowOff>201873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14:cNvPr>
            <xdr14:cNvContentPartPr/>
          </xdr14:nvContentPartPr>
          <xdr14:nvPr macro=""/>
          <xdr14:xfrm>
            <a:off x="6287673" y="1239513"/>
            <a:ext cx="420840" cy="257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270033" y="1221873"/>
              <a:ext cx="45648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512444</xdr:colOff>
      <xdr:row>7</xdr:row>
      <xdr:rowOff>138415</xdr:rowOff>
    </xdr:from>
    <xdr:to>
      <xdr:col>5</xdr:col>
      <xdr:colOff>730964</xdr:colOff>
      <xdr:row>8</xdr:row>
      <xdr:rowOff>105917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14:cNvPr>
            <xdr14:cNvContentPartPr/>
          </xdr14:nvContentPartPr>
          <xdr14:nvPr macro=""/>
          <xdr14:xfrm>
            <a:off x="7550553" y="1641633"/>
            <a:ext cx="218520" cy="1753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532553" y="1623633"/>
              <a:ext cx="2541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1135855</xdr:colOff>
      <xdr:row>8</xdr:row>
      <xdr:rowOff>5117</xdr:rowOff>
    </xdr:from>
    <xdr:to>
      <xdr:col>5</xdr:col>
      <xdr:colOff>287084</xdr:colOff>
      <xdr:row>8</xdr:row>
      <xdr:rowOff>196277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14:cNvPr>
            <xdr14:cNvContentPartPr/>
          </xdr14:nvContentPartPr>
          <xdr14:nvPr macro=""/>
          <xdr14:xfrm>
            <a:off x="6982473" y="1716153"/>
            <a:ext cx="342720" cy="191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964833" y="1698513"/>
              <a:ext cx="37836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325495</xdr:colOff>
      <xdr:row>8</xdr:row>
      <xdr:rowOff>41477</xdr:rowOff>
    </xdr:from>
    <xdr:to>
      <xdr:col>4</xdr:col>
      <xdr:colOff>803935</xdr:colOff>
      <xdr:row>8</xdr:row>
      <xdr:rowOff>227237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14:cNvPr>
            <xdr14:cNvContentPartPr/>
          </xdr14:nvContentPartPr>
          <xdr14:nvPr macro=""/>
          <xdr14:xfrm>
            <a:off x="6172113" y="1752513"/>
            <a:ext cx="478440" cy="1857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154113" y="1734548"/>
              <a:ext cx="514080" cy="221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450055</xdr:colOff>
      <xdr:row>9</xdr:row>
      <xdr:rowOff>119662</xdr:rowOff>
    </xdr:from>
    <xdr:to>
      <xdr:col>4</xdr:col>
      <xdr:colOff>567415</xdr:colOff>
      <xdr:row>9</xdr:row>
      <xdr:rowOff>131902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14:cNvPr>
            <xdr14:cNvContentPartPr/>
          </xdr14:nvContentPartPr>
          <xdr14:nvPr macro=""/>
          <xdr14:xfrm>
            <a:off x="6296673" y="2225553"/>
            <a:ext cx="117360" cy="12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279033" y="2207553"/>
              <a:ext cx="15300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830935</xdr:colOff>
      <xdr:row>9</xdr:row>
      <xdr:rowOff>53782</xdr:rowOff>
    </xdr:from>
    <xdr:to>
      <xdr:col>4</xdr:col>
      <xdr:colOff>1061335</xdr:colOff>
      <xdr:row>9</xdr:row>
      <xdr:rowOff>111022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14:cNvPr>
            <xdr14:cNvContentPartPr/>
          </xdr14:nvContentPartPr>
          <xdr14:nvPr macro=""/>
          <xdr14:xfrm>
            <a:off x="6677553" y="2159673"/>
            <a:ext cx="230400" cy="572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659913" y="2142033"/>
              <a:ext cx="2660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685604</xdr:colOff>
      <xdr:row>8</xdr:row>
      <xdr:rowOff>265757</xdr:rowOff>
    </xdr:from>
    <xdr:to>
      <xdr:col>5</xdr:col>
      <xdr:colOff>1015724</xdr:colOff>
      <xdr:row>9</xdr:row>
      <xdr:rowOff>75382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14:cNvPr>
            <xdr14:cNvContentPartPr/>
          </xdr14:nvContentPartPr>
          <xdr14:nvPr macro=""/>
          <xdr14:xfrm>
            <a:off x="7723713" y="1976793"/>
            <a:ext cx="330120" cy="2044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706073" y="1958793"/>
              <a:ext cx="3657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117524</xdr:colOff>
      <xdr:row>8</xdr:row>
      <xdr:rowOff>373757</xdr:rowOff>
    </xdr:from>
    <xdr:to>
      <xdr:col>5</xdr:col>
      <xdr:colOff>468164</xdr:colOff>
      <xdr:row>9</xdr:row>
      <xdr:rowOff>111742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14:cNvPr>
            <xdr14:cNvContentPartPr/>
          </xdr14:nvContentPartPr>
          <xdr14:nvPr macro=""/>
          <xdr14:xfrm>
            <a:off x="7155633" y="2084793"/>
            <a:ext cx="350640" cy="1328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138011" y="2067153"/>
              <a:ext cx="386243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76795</xdr:colOff>
      <xdr:row>4</xdr:row>
      <xdr:rowOff>203564</xdr:rowOff>
    </xdr:from>
    <xdr:to>
      <xdr:col>4</xdr:col>
      <xdr:colOff>418435</xdr:colOff>
      <xdr:row>10</xdr:row>
      <xdr:rowOff>102971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14:cNvPr>
            <xdr14:cNvContentPartPr/>
          </xdr14:nvContentPartPr>
          <xdr14:nvPr macro=""/>
          <xdr14:xfrm>
            <a:off x="5677495" y="1064624"/>
            <a:ext cx="341640" cy="1331967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897793" y="1112433"/>
              <a:ext cx="377280" cy="13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576044</xdr:colOff>
      <xdr:row>4</xdr:row>
      <xdr:rowOff>186644</xdr:rowOff>
    </xdr:from>
    <xdr:to>
      <xdr:col>6</xdr:col>
      <xdr:colOff>126153</xdr:colOff>
      <xdr:row>9</xdr:row>
      <xdr:rowOff>178331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14:cNvPr>
            <xdr14:cNvContentPartPr/>
          </xdr14:nvContentPartPr>
          <xdr14:nvPr macro=""/>
          <xdr14:xfrm>
            <a:off x="7365464" y="1047704"/>
            <a:ext cx="738829" cy="1226127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657473" y="1095873"/>
              <a:ext cx="777240" cy="127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38</xdr:row>
      <xdr:rowOff>96190</xdr:rowOff>
    </xdr:from>
    <xdr:to>
      <xdr:col>2</xdr:col>
      <xdr:colOff>6160</xdr:colOff>
      <xdr:row>38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CCD8161-EAC3-47BD-BD9A-DF67CDBF450A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56</xdr:row>
      <xdr:rowOff>117698</xdr:rowOff>
    </xdr:from>
    <xdr:to>
      <xdr:col>4</xdr:col>
      <xdr:colOff>214767</xdr:colOff>
      <xdr:row>56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5AB8680-3075-41D3-987A-AA85D8D09C83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1447740</xdr:colOff>
      <xdr:row>18</xdr:row>
      <xdr:rowOff>479820</xdr:rowOff>
    </xdr:from>
    <xdr:to>
      <xdr:col>9</xdr:col>
      <xdr:colOff>1448100</xdr:colOff>
      <xdr:row>18</xdr:row>
      <xdr:rowOff>481445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409E8C-C365-425A-BF3D-21ECEC6CF06E}"/>
                </a:ext>
              </a:extLst>
            </xdr14:cNvPr>
            <xdr14:cNvContentPartPr/>
          </xdr14:nvContentPartPr>
          <xdr14:nvPr macro=""/>
          <xdr14:xfrm>
            <a:off x="10751760" y="4190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306446-A587-2256-CC5F-4F3B5E47CB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742760" y="4181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502680</xdr:colOff>
      <xdr:row>3</xdr:row>
      <xdr:rowOff>60900</xdr:rowOff>
    </xdr:from>
    <xdr:to>
      <xdr:col>4</xdr:col>
      <xdr:colOff>503040</xdr:colOff>
      <xdr:row>3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EFC2AE0-2797-42A0-9061-D3C2781B5966}"/>
                </a:ext>
              </a:extLst>
            </xdr14:cNvPr>
            <xdr14:cNvContentPartPr/>
          </xdr14:nvContentPartPr>
          <xdr14:nvPr macro=""/>
          <xdr14:xfrm>
            <a:off x="4647960" y="7390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C45A97C-5CCD-52DE-C2A5-64F537A08CA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38960" y="730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350520</xdr:colOff>
      <xdr:row>6</xdr:row>
      <xdr:rowOff>106500</xdr:rowOff>
    </xdr:from>
    <xdr:to>
      <xdr:col>12</xdr:col>
      <xdr:colOff>378960</xdr:colOff>
      <xdr:row>6</xdr:row>
      <xdr:rowOff>106860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B49191E-808D-4D88-81BD-BD771BD29585}"/>
                </a:ext>
              </a:extLst>
            </xdr14:cNvPr>
            <xdr14:cNvContentPartPr/>
          </xdr14:nvContentPartPr>
          <xdr14:nvPr macro=""/>
          <xdr14:xfrm>
            <a:off x="12710160" y="1440000"/>
            <a:ext cx="2844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A08AC6D-A329-4750-976D-12F943D39DE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701520" y="1431000"/>
              <a:ext cx="4608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rnis/Desktop/PW%20Skills%20-%20Live%20session%20resources/EXCEL%20resources/DA%20July'25%20Live%20-%20Revision.xlsx" TargetMode="External"/><Relationship Id="rId2" Type="http://schemas.openxmlformats.org/officeDocument/2006/relationships/externalLinkPath" Target="file:///C:\Users\drnis\Desktop\PW%20Skills%20-%20Live%20session%20resources\DA%20July'25%20Live%20-%20Revision.xlsx" TargetMode="External"/><Relationship Id="rId1" Type="http://schemas.openxmlformats.org/officeDocument/2006/relationships/externalLinkPath" Target="/Users/drnis/Desktop/PW%20Skills%20-%20Live%20session%20resources/EXCEL%20resources/DA%20July'25%20Live%20-%20Revis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W%20Recordings\Excel%20files\Lectures_new.xlsx" TargetMode="External"/><Relationship Id="rId1" Type="http://schemas.openxmlformats.org/officeDocument/2006/relationships/externalLinkPath" Target="file:///D:\PW%20Recordings\Excel%20files\Lectures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6"/>
      <sheetName val="Practice"/>
      <sheetName val="Arithmetic functions"/>
      <sheetName val="Date, Number, Text formatting"/>
      <sheetName val="Cell Referencing"/>
      <sheetName val="IF and IFS"/>
      <sheetName val="Logical operators"/>
      <sheetName val="Logical functions"/>
      <sheetName val="Text functions"/>
      <sheetName val="Table"/>
      <sheetName val="Date functions"/>
      <sheetName val="Conditional formatting"/>
      <sheetName val="Basic Charts"/>
      <sheetName val="HLOOKUP"/>
      <sheetName val="VLOOKUP"/>
      <sheetName val="LOOKUP"/>
      <sheetName val="XLOOKUP"/>
      <sheetName val="Index and Match functions"/>
      <sheetName val="Offset"/>
      <sheetName val="Scenario manager"/>
      <sheetName val="Goal seek - 1"/>
      <sheetName val="Goal Seek - 2"/>
      <sheetName val="Data for Pivot Table and Chart"/>
      <sheetName val="Sheet1"/>
      <sheetName val="Data Table"/>
      <sheetName val="Unclean Data"/>
      <sheetName val="Sheet2"/>
      <sheetName val="Demo Dashboard"/>
      <sheetName val="DASHBOARD"/>
      <sheetName val="VBA MAcros"/>
    </sheetNames>
    <sheetDataSet>
      <sheetData sheetId="0">
        <row r="20">
          <cell r="C20">
            <v>10</v>
          </cell>
        </row>
        <row r="21">
          <cell r="C21">
            <v>20</v>
          </cell>
        </row>
        <row r="22">
          <cell r="C22">
            <v>30</v>
          </cell>
        </row>
        <row r="23">
          <cell r="C23">
            <v>40</v>
          </cell>
        </row>
        <row r="24">
          <cell r="C24">
            <v>50</v>
          </cell>
        </row>
        <row r="25">
          <cell r="C25">
            <v>80</v>
          </cell>
        </row>
        <row r="26">
          <cell r="C26">
            <v>70</v>
          </cell>
        </row>
        <row r="27">
          <cell r="C27">
            <v>80</v>
          </cell>
        </row>
        <row r="28">
          <cell r="C28">
            <v>90</v>
          </cell>
        </row>
        <row r="29">
          <cell r="C29">
            <v>100</v>
          </cell>
        </row>
        <row r="30">
          <cell r="C30">
            <v>110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lit (and freeze)"/>
      <sheetName val="FORMULAS AND FUNCTIONS"/>
      <sheetName val="goto, go to special"/>
      <sheetName val="find, replace"/>
      <sheetName val="VIsible cells only"/>
      <sheetName val="FILL - down right flash"/>
      <sheetName val="Copying formulas"/>
      <sheetName val="SUBTOTAL"/>
      <sheetName val="ROUND FUNCTIONS"/>
      <sheetName val="Text functions"/>
      <sheetName val="Basic formatting"/>
      <sheetName val="Logical operators (test)"/>
      <sheetName val="How to use IF functions"/>
      <sheetName val="Absolute Relative cell referenc"/>
      <sheetName val="If functions "/>
      <sheetName val="IFs Functions"/>
      <sheetName val="Database functions"/>
      <sheetName val="Logical functions"/>
      <sheetName val="Speak cells, Show hide formulas"/>
      <sheetName val="Trace precedents and dependents"/>
      <sheetName val="Evaluate formulas"/>
      <sheetName val="FOrmula auditing 2"/>
      <sheetName val="Excel Protection"/>
      <sheetName val="Text to columns - Delimiter"/>
      <sheetName val="Text to columns - Fixed width"/>
      <sheetName val="Textsplit function"/>
      <sheetName val="Textbefore function"/>
      <sheetName val="Textafter function"/>
      <sheetName val="Naming ranges"/>
      <sheetName val="Tables in Excel"/>
      <sheetName val="Data Validation"/>
      <sheetName val="Dropdown"/>
      <sheetName val="Data for dropdown"/>
      <sheetName val="Dependent dropdown"/>
      <sheetName val="Index and Match functions"/>
      <sheetName val="HLOOKUP"/>
      <sheetName val="VLOOKUP"/>
      <sheetName val="LOOKUP"/>
      <sheetName val="XLOOKUP"/>
      <sheetName val="Offset"/>
      <sheetName val="Number formatting"/>
      <sheetName val="Date and Time formatting"/>
      <sheetName val="Excel Table"/>
      <sheetName val="Basic Sorting and Filtering"/>
      <sheetName val="Advanced sorting and filtering"/>
      <sheetName val="Sheet6"/>
      <sheetName val="Removing Duplicates"/>
      <sheetName val="Remove duplicates - Table3"/>
      <sheetName val="Scenario manager"/>
      <sheetName val="Scenario Summary"/>
      <sheetName val="Scenario PivotTable"/>
      <sheetName val="Data Table"/>
      <sheetName val="Goal seek - 1"/>
      <sheetName val="Goal Seek - 2"/>
      <sheetName val="Sales - 2021"/>
      <sheetName val="Sales - 2022"/>
      <sheetName val="Sales - 2023"/>
      <sheetName val="Sales - 2024"/>
      <sheetName val="Consolidate TotalSales"/>
      <sheetName val="Type Check"/>
      <sheetName val="Approximate &amp; true match"/>
      <sheetName val="Date Time functions"/>
      <sheetName val="Basic Conditional formatting"/>
      <sheetName val="Advanced Conditional formatting"/>
      <sheetName val="Data for Pivot table"/>
      <sheetName val="Pivot grouping"/>
      <sheetName val="Pivot Table"/>
      <sheetName val="Pivot Table 2"/>
      <sheetName val="Data for Pivot chart"/>
      <sheetName val="Pivot Chart"/>
      <sheetName val="Pivot Slicer"/>
      <sheetName val="Pivot Timeline"/>
      <sheetName val="Charts - Column, Clustered, Pie"/>
      <sheetName val="Charts - Line, Clustered bar"/>
      <sheetName val="Charts - Sprklne, Wtrf, Fnnl"/>
      <sheetName val="Charts - Treemap, Sunburst"/>
      <sheetName val="Unclean data"/>
      <sheetName val="Power Query - Cleaned data"/>
      <sheetName val="Power Query Merge."/>
      <sheetName val="Table1"/>
      <sheetName val="Table2"/>
      <sheetName val="Append1"/>
      <sheetName val="Sheet5"/>
      <sheetName val="Sheet2"/>
      <sheetName val="Sheet1"/>
      <sheetName val="Unclean sales data"/>
      <sheetName val="Clean sales data"/>
      <sheetName val="Dashboard_New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F4">
            <v>5</v>
          </cell>
        </row>
        <row r="5">
          <cell r="F5">
            <v>6</v>
          </cell>
        </row>
        <row r="6">
          <cell r="F6">
            <v>10</v>
          </cell>
        </row>
        <row r="7">
          <cell r="F7">
            <v>4</v>
          </cell>
        </row>
        <row r="8">
          <cell r="F8">
            <v>9</v>
          </cell>
        </row>
        <row r="9">
          <cell r="F9">
            <v>8</v>
          </cell>
        </row>
        <row r="10">
          <cell r="F10">
            <v>7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06:44.07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12:12.18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7.37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94 202 24575,'0'-6'0,"1"0"0,0-1 0,1 1 0,-1 0 0,1 0 0,1 0 0,-1 0 0,1 0 0,0 0 0,0 1 0,1-1 0,0 1 0,0 0 0,0 0 0,0 0 0,1 1 0,7-7 0,4-1 0,0 0 0,1 1 0,0 0 0,25-10 0,-33 16 0,2 1 0,-1 0 0,0 0 0,1 1 0,0 1 0,0 0 0,14-1 0,-18 3 0,0 0 0,-1 1 0,1 0 0,0 0 0,-1 0 0,1 1 0,-1 0 0,1 0 0,-1 1 0,0 0 0,0 0 0,0 0 0,6 6 0,6 5 0,0 1 0,-1 1 0,-1 1 0,-1 0 0,0 1 0,23 38 0,-12-10 0,40 95 0,-46-86 0,-2 2 0,-3 0 0,-2 1 0,8 105 0,-14-38 0,-12 152 0,0-219 0,-3 1 0,-18 72 0,-44 112 0,4-18 0,47-147 0,3 2 0,4 0 0,-2 110 0,12-135 0,0-8 0,5 65 0,-2-99 0,1-1 0,0 1 0,1-1 0,1 0 0,-1 0 0,2 0 0,0 0 0,0-1 0,1 1 0,8 10 0,-9-15 0,1-1 0,0 1 0,1-1 0,-1-1 0,1 1 0,0-1 0,1 0 0,-1-1 0,1 0 0,0 0 0,0 0 0,0-1 0,15 3 0,-6-2 0,-1-1 0,1-1 0,0 0 0,0-2 0,0 0 0,19-2 0,-31 1 0,1 0 0,0 0 0,-1 0 0,0-1 0,1 0 0,-1 0 0,0 0 0,0-1 0,0 1 0,0-1 0,0-1 0,-1 1 0,1 0 0,-1-1 0,0 0 0,0 0 0,6-8 0,-4 1 0,1 1 0,-1-2 0,-1 1 0,0 0 0,0-1 0,-2 0 0,4-12 0,-6 19 0,0 0 0,0-1 0,-1 1 0,0 0 0,0 0 0,0 0 0,0 0 0,-1-1 0,0 1 0,0 0 0,-4-9 0,5 12 0,-1 1 0,0-1 0,1 1 0,-1 0 0,0-1 0,0 1 0,0 0 0,0-1 0,-1 1 0,1 0 0,0 0 0,0 0 0,-1 0 0,1 0 0,-1 0 0,1 1 0,-1-1 0,1 0 0,-1 1 0,1-1 0,-1 1 0,0-1 0,1 1 0,-1 0 0,0 0 0,1 0 0,-1 0 0,0 0 0,1 0 0,-1 0 0,0 0 0,1 1 0,-1-1 0,1 1 0,-1-1 0,1 1 0,-1-1 0,1 1 0,-1 0 0,-1 1 0,-2 1 0,1 0 0,0 1 0,0-1 0,1 1 0,-1-1 0,1 1 0,0 0 0,0 0 0,0 1 0,0-1 0,1 1 0,0-1 0,0 1 0,0 0 0,0 0 0,1 0 0,0 0 0,0 0 0,0 7 0,-3 13 0,2 0 0,2 38 0,4-2 0,21 111 0,30 60 0,16 94 0,-51-169 0,0 236 0,-21-348 0,-1 0 0,-3 0 0,-1 0 0,-3 0 0,-1-1 0,-19 49 0,20-71 0,0 0 0,-2-1 0,0 0 0,-1-1 0,-2 0 0,0-1 0,0 0 0,-2-1 0,0-1 0,-2-1 0,1 0 0,-2-1 0,-28 17 0,25-20 0,-1-1 0,0-1 0,0-1 0,-1-1 0,0-1 0,-1-1 0,1-1 0,-1-1 0,0-2 0,0 0 0,-1-2 0,1 0 0,0-2 0,0-1 0,0-1 0,1-1 0,-26-8 0,32 7 0,0-1 0,0-1 0,1 0 0,0-2 0,0 0 0,1 0 0,1-2 0,-1 0 0,-25-27 0,30 26 0,1 0 0,0-1 0,0 0 0,2-1 0,0 0 0,1 0 0,0-1 0,1 0 0,1 0 0,0 0 0,1 0 0,-2-25 0,3 2-455,2 0 0,4-42 0,14-77-6371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9.2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361 108 24575,'16'-17'0,"-9"9"0,0 1 0,0 0 0,0 0 0,1 0 0,0 1 0,0 0 0,1 0 0,0 1 0,0 0 0,0 1 0,0 0 0,14-4 0,-7 5 0,0 0 0,1 1 0,-1 1 0,1 0 0,-1 1 0,1 1 0,25 4 0,-31-3 0,-1 1 0,1 0 0,0 1 0,-1 0 0,0 1 0,0 0 0,0 0 0,-1 1 0,0 1 0,0-1 0,0 1 0,8 9 0,2 7 0,0 0 0,-1 1 0,-2 1 0,0 1 0,-2 0 0,-1 1 0,16 44 0,-7-2 0,26 141 0,-21-26 0,7 280 0,-59 188 0,-42-151 0,-11 155 0,5 345 0,30-292 0,44 5 0,3-301 0,-4-321 0,6 433 0,39-2 0,-40-485 0,85 481 0,-69-428 0,5 0 0,3-1 0,63 130 0,-78-190 0,2-1 0,2 0 0,0-1 0,34 38 0,-46-58 0,1-1 0,1 0 0,-1 0 0,1-1 0,0 0 0,1 0 0,0-1 0,0 0 0,0 0 0,0-1 0,0 0 0,1-1 0,0 0 0,0-1 0,0 0 0,0 0 0,0-1 0,19 0 0,-23-2 0,-1 0 0,0 0 0,1-1 0,-1 1 0,0-1 0,0 0 0,0-1 0,-1 1 0,1-1 0,0 0 0,-1 0 0,0 0 0,0-1 0,0 0 0,0 1 0,0-2 0,-1 1 0,0 0 0,0-1 0,0 1 0,0-1 0,3-9 0,2-4 0,-1 0 0,-1 0 0,-1 0 0,-1-1 0,3-22 0,-1-9 0,-2-1 0,-2 0 0,-3 0 0,-7-58 0,7 103 0,0 1 0,0-1 0,-1 0 0,1 0 0,-1 1 0,0-1 0,-1 1 0,0 0 0,-3-6 0,5 10 0,0 0 0,0-1 0,0 1 0,-1 0 0,1 0 0,-1 0 0,1 0 0,0 0 0,-1 0 0,0 0 0,1 0 0,-1 1 0,0-1 0,1 0 0,-1 1 0,0 0 0,0-1 0,1 1 0,-1 0 0,0 0 0,0 0 0,1 0 0,-1 0 0,0 0 0,0 1 0,1-1 0,-1 1 0,0-1 0,0 1 0,1-1 0,-1 1 0,1 0 0,-4 2 0,0 0 0,0 1 0,0 0 0,0 0 0,0 0 0,1 0 0,-1 1 0,1 0 0,0 0 0,1 0 0,-1 1 0,1-1 0,0 1 0,1 0 0,-3 6 0,-5 15 0,-10 51 0,14-53 0,-88 400 0,74-305 0,-6 192 0,0 127 0,-11 318 0,34-629 0,-45 604 0,24-552 0,-8 0 0,-55 177 0,64-286 0,-51 113 0,58-153 0,-1 0 0,-1-1 0,-2 0 0,0-2 0,-41 43 0,48-59 0,-1 0 0,0-1 0,0 0 0,-1-1 0,0-1 0,0 0 0,-1-1 0,-1-1 0,1 0 0,-1-1 0,0-1 0,-1-1 0,1 0 0,-1-1 0,1-1 0,-1-1 0,0 0 0,0-2 0,0 0 0,1-1 0,-1 0 0,0-2 0,1 0 0,0-1 0,0 0 0,0-2 0,1 0 0,-23-13 0,18 7 24,0 0 0,1-1 0,1-1 0,-21-20 0,29 24-210,1-1 1,0 1-1,0-2 0,1 0 1,1 0-1,0 0 1,-9-23-1,2-9-6640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4.2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1825 552 24575,'3'0'0,"5"0"0</inkml:trace>
  <inkml:trace contextRef="#ctx0" brushRef="#br0" timeOffset="1469.88">1169 129 24575,'0'-2'0,"1"-1"0,-1 0 0,1 0 0,0 1 0,0-1 0,0 0 0,1 1 0,-1-1 0,0 1 0,1 0 0,0-1 0,0 1 0,2-2 0,27-26 0,-21 22 0,0 1 0,1 0 0,0 1 0,0 1 0,1-1 0,-1 2 0,1 0 0,0 0 0,1 1 0,-1 0 0,0 1 0,14 0 0,-13 3 0,-1 0 0,0 2 0,0-1 0,0 2 0,0-1 0,0 2 0,-1-1 0,0 2 0,1-1 0,-2 2 0,1-1 0,-1 2 0,0-1 0,15 16 0,-4-3 0,-2 2 0,0-1 0,-1 2 0,-1 1 0,18 34 0,-23-34 0,-1 1 0,-1 0 0,12 52 0,8 84 0,-28-147 0,23 269 0,-10-77 0,6 243 0,-24-352 0,-5 0 0,-33 156 0,-82 437 0,73-3 0,46 137 0,6-798 0,-2-6 0,1 1 0,1-1 0,1 0 0,0 0 0,10 27 0,-12-45 0,-1 1 0,1 0 0,1-1 0,-1 1 0,0-1 0,1 0 0,-1 1 0,1-1 0,-1 0 0,1 0 0,0 0 0,0 0 0,0 0 0,0 0 0,1 0 0,-1-1 0,0 1 0,1-1 0,-1 0 0,1 0 0,-1 0 0,1 0 0,0 0 0,-1 0 0,1-1 0,0 1 0,0-1 0,-1 0 0,1 0 0,0 0 0,0 0 0,-1 0 0,1-1 0,4 0 0,0-1 0,0-1 0,0 1 0,-1-1 0,1 0 0,-1-1 0,0 0 0,0 0 0,0 0 0,0-1 0,-1 0 0,1 0 0,4-6 0,-1-2 0,-1-1 0,0 1 0,-1-1 0,0-1 0,-1 1 0,-1-1 0,0 0 0,-1 0 0,-1-1 0,0 1 0,1-26 0,-7 85 0,2 0 0,2-1 0,2 1 0,10 50 0,48 174 0,-49-219 0,14 51 0,98 411 0,-35 5 0,-75-385 0,-2 170 0,-13-259 0,-2 0 0,-1-1 0,-2 0 0,-3 0 0,-1 0 0,-1-1 0,-3-1 0,-22 49 0,27-72 0,-1-1 0,0 1 0,-2-2 0,1 1 0,-2-1 0,0-1 0,0-1 0,-1 1 0,-1-2 0,0 0 0,-21 11 0,26-16 0,-1-1 0,1 0 0,-1-1 0,-1 0 0,1 0 0,0-1 0,-1-1 0,0 0 0,1 0 0,-1-1 0,0-1 0,0 0 0,0-1 0,1 0 0,-1-1 0,0 0 0,1 0 0,-16-7 0,21 6 5,0 0 0,1 0 1,-1 0-1,1-1 0,-1 0 0,1 0 0,1 0 0,-1-1 0,0 0 0,1 0 0,0 0 0,0 0 0,1-1 0,-1 1 0,1-1 1,-3-8-1,-1-5-368,1-2 0,0 1 0,-4-34 0,-3-45-6463</inkml:trace>
  <inkml:trace contextRef="#ctx0" brushRef="#br0" timeOffset="7552.61">216 8130 24575,'0'8'0,"-17"899"0,10-776 0,-9 136 0,15-248 0,-4 31 0,4-46 0,1-1 0,-1 0 0,0 0 0,1 0 0,-1-1 0,-1 1 0,1 0 0,0 0 0,-1 0 0,0-1 0,-2 4 0,4-6 0,0 0 0,-1 0 0,1 1 0,0-1 0,-1 0 0,1 0 0,-1 0 0,1 0 0,-1 1 0,1-1 0,0 0 0,-1 0 0,1 0 0,-1 0 0,1 0 0,-1 0 0,1 0 0,-1 0 0,1 0 0,0 0 0,-1-1 0,1 1 0,-1 0 0,1 0 0,0 0 0,-1 0 0,1-1 0,-1 1 0,1 0 0,0 0 0,-1-1 0,1 1 0,0 0 0,-1-1 0,1 1 0,0 0 0,0-1 0,-1 1 0,1 0 0,0-1 0,0 1 0,0-1 0,-1 0 0,-5-11 0,0 0 0,1 0 0,1-1 0,0 0 0,0 0 0,-2-21 0,3 20 0,-88-715-310,82 585-514,19-264 0,-3 335 765,3 0 0,4 1 1,3 1-1,3 0 0,43-100 0,-49 139 59,1 1 0,23-33 0,-33 56 0,0 1 0,1-1 0,0 1 0,1 0 0,-1 1 0,1 0 0,0 0 0,1 0 0,0 1 0,0 0 0,0 0 0,15-5 0,-19 8 20,1 1 0,-1 0 0,1 0 0,-1 0-1,1 1 1,0-1 0,-1 1 0,1 0 0,0 1-1,0-1 1,-1 1 0,1 0 0,-1 0 0,1 0-1,8 4 1,-7-1 88,0-1 0,0 1 0,0 0 0,0 1 0,-1 0-1,1 0 1,-1 0 0,0 0 0,6 9 0,-1 2 6,0 1 1,-1-1-1,-1 1 1,-1 1-1,0 0 0,-1 0 1,3 20-1,-5-17-114,-2 1 0,0 0 0,-1-1 0,-1 1 0,-1 0 0,-1-1 0,-1 1 0,-1-1 0,-1 1 0,-1-1 0,-14 33 0,4-18 0,-1-2 0,-2 0 0,-1-1 0,-2-1 0,-42 48 0,58-73-136,0 0-1,0 0 1,-1 0-1,0-1 1,0 0-1,0 0 1,-1-1-1,0 0 0,-12 6 1,-5-7-6690</inkml:trace>
  <inkml:trace contextRef="#ctx0" brushRef="#br0" timeOffset="8554.26">957 8490 24575,'0'-31'0,"1"10"0,-1 0 0,-1 0 0,-1 0 0,-7-34 0,7 49 0,0 0 0,0 1 0,0-1 0,-1 1 0,0-1 0,0 1 0,0 0 0,0 0 0,-1 1 0,0-1 0,0 1 0,0 0 0,-1 0 0,1 0 0,-1 0 0,0 1 0,0 0 0,0 0 0,-1 0 0,1 1 0,-7-3 0,7 4 0,1-1 0,-1 1 0,1 1 0,-1-1 0,1 1 0,-1-1 0,0 1 0,1 0 0,-1 1 0,1-1 0,-1 1 0,0 0 0,1 0 0,0 1 0,-1-1 0,1 1 0,0 0 0,0 0 0,0 0 0,0 1 0,0-1 0,0 1 0,1 0 0,-1 0 0,1 0 0,-4 6 0,-3 3 0,0 0 0,2 1 0,-1 0 0,2 1 0,0 0 0,-9 25 0,2 6 0,1 0 0,3 1 0,1 0 0,-2 56 0,8-37 0,2 0 0,12 94 0,-10-148 0,1 0 0,0 0 0,1 0 0,0 0 0,1-1 0,0 1 0,7 12 0,-9-20 0,-1 0 0,1 0 0,0 0 0,1 0 0,-1-1 0,0 1 0,1-1 0,-1 0 0,1 0 0,0 0 0,0 0 0,0 0 0,0 0 0,0-1 0,0 1 0,0-1 0,1 0 0,-1 0 0,0 0 0,1-1 0,-1 1 0,1-1 0,-1 0 0,1 0 0,-1 0 0,6-1 0,-2 0 0,-1-1 0,1 0 0,-1 0 0,1-1 0,-1 0 0,0 0 0,0-1 0,0 1 0,0-1 0,-1 0 0,0-1 0,1 0 0,-2 1 0,1-2 0,0 1 0,3-6 0,6-10 0,0-1 0,21-45 0,-23 39 0,-1 0 0,-1-1 0,-2 0 0,0 0 0,-3-1 0,5-45 0,-11 45 0,1 30 0,0 1 0,0-1 0,0 0 0,-1 0 0,1 0 0,0 0 0,0 0 0,0 0 0,0 0 0,0 0 0,0 0 0,0 1 0,0-1 0,0 0 0,-1 0 0,1 0 0,0 0 0,0 0 0,0 0 0,0 0 0,0 0 0,0 0 0,-1 0 0,1 0 0,0 0 0,0 0 0,0 0 0,0 0 0,0 0 0,0 0 0,-1 0 0,1 0 0,0 0 0,0 0 0,0 0 0,0 0 0,0 0 0,0 0 0,-1 0 0,1 0 0,0-1 0,0 1 0,0 0 0,0 0 0,0 0 0,0 0 0,0 0 0,0 0 0,0 0 0,0 0 0,-1 0 0,1-1 0,0 1 0,-4 15 0,0 4 0,1-1 0,1 2 0,1-1 0,1 0 0,0 0 0,2 0 0,4 27 0,-4-39 0,0 0 0,0 0 0,1 0 0,0-1 0,0 1 0,0-1 0,1 0 0,0 0 0,0 0 0,6 6 0,-6-9 0,0 1 0,0-1 0,0 0 0,0 0 0,1 0 0,0 0 0,-1-1 0,1 0 0,0 0 0,0 0 0,0-1 0,1 0 0,-1 0 0,0 0 0,7 0 0,-3 0 0,1-1 0,0 0 0,-1-1 0,1 0 0,-1-1 0,1 0 0,-1 0 0,0-1 0,0 0 0,0-1 0,13-7 0,-10 4 0,-1 0 0,-1-1 0,0 0 0,0-1 0,0 0 0,-1-1 0,13-18 0,-7 4 0,0 0 0,-2-1 0,0-1 0,-2 0 0,-1-1 0,-1 0 0,7-36 0,-3-4 0,-3-2 0,-3 1 0,-3-1 0,-3 0 0,-14-117 0,11 169 0,2 12 0,0 0 0,0 1 0,-1-1 0,0 0 0,0 0 0,0 1 0,-1-1 0,1 1 0,-1-1 0,0 1 0,-4-6 0,6 10 0,0 0 0,0 0 0,-1 0 0,1 0 0,0 0 0,0 0 0,-1 0 0,1 0 0,0 0 0,-1 0 0,1 0 0,0 0 0,0 0 0,-1 0 0,1 1 0,0-1 0,0 0 0,0 0 0,-1 0 0,1 0 0,0 0 0,0 1 0,0-1 0,-1 0 0,1 0 0,0 0 0,0 1 0,0-1 0,0 0 0,-1 0 0,1 1 0,0-1 0,0 0 0,0 0 0,0 1 0,0-1 0,0 0 0,0 0 0,0 1 0,0-1 0,0 0 0,0 0 0,0 1 0,0-1 0,0 0 0,0 0 0,0 1 0,0-1 0,0 1 0,-4 28 0,1 0 0,1 0 0,1 1 0,6 48 0,-4-56 0,3 38 0,3 1 0,21 85 0,-22-123 0,0-1 0,2 1 0,0-2 0,2 1 0,0-1 0,2-1 0,0 0 0,1 0 0,24 26 0,-30-39 0,0 0 0,1 0 0,0-1 0,1 0 0,-1-1 0,1 0 0,0 0 0,1 0 0,-1-1 0,1-1 0,-1 0 0,21 4 0,-24-6 0,0 0 0,1-1 0,-1 0 0,0 0 0,1-1 0,-1 1 0,0-1 0,0-1 0,0 1 0,1-1 0,-1 0 0,-1 0 0,1-1 0,0 0 0,-1 0 0,1 0 0,-1-1 0,0 0 0,0 0 0,0 0 0,7-9 0,-2 0 0,0-1 0,-2-1 0,1 1 0,-2-2 0,0 1 0,-1-1 0,0 0 0,-1 0 0,4-25 0,-1-12 0,3-91 0,-15-85 0,0 187 0,-2 1 0,-2-1 0,-16-53 0,22 90 0,0 0 0,0 0 0,0 0 0,0 0 0,-1 0 0,-5-7 0,8 12 0,0-1 0,0 1 0,-1 0 0,1-1 0,0 1 0,-1 0 0,1 0 0,0-1 0,-1 1 0,1 0 0,0 0 0,-1 0 0,1-1 0,0 1 0,-1 0 0,1 0 0,-1 0 0,1 0 0,0 0 0,-1 0 0,1 0 0,-1 0 0,1 0 0,0 0 0,-1 0 0,1 0 0,0 0 0,-1 0 0,1 0 0,-1 0 0,1 0 0,0 1 0,-1-1 0,1 0 0,0 0 0,-1 0 0,1 1 0,0-1 0,-1 0 0,1 0 0,0 1 0,0-1 0,-1 0 0,1 1 0,0-1 0,0 0 0,-1 1 0,1-1 0,0 0 0,0 1 0,0-1 0,0 1 0,-5 11 0,2-1 0,0 1 0,0 0 0,1 0 0,1 0 0,-1 25 0,1-20 0,-5 109 0,17 206 0,-8-305 30,1 0 0,2 0 0,11 35 0,-14-53-144,0 0 0,1 0-1,0-1 1,0 1 0,1-1 0,0 0-1,0 0 1,1-1 0,0 0 0,1 0-1,-1 0 1,16 11 0,3-7-6712</inkml:trace>
  <inkml:trace contextRef="#ctx0" brushRef="#br0" timeOffset="9799.9">1338 8596 24575,'-3'4'0,"0"0"0,1 0 0,0 0 0,0 0 0,0 1 0,0-1 0,1 1 0,-1 4 0,1-8 0,1 0 0,0 0 0,0 0 0,1 1 0,-1-1 0,0 0 0,0 0 0,0 0 0,1 0 0,-1 0 0,0 0 0,1 0 0,-1 0 0,1 0 0,-1 0 0,1 0 0,0 0 0,-1 0 0,1 0 0,0-1 0,0 1 0,0 0 0,-1 0 0,1-1 0,0 1 0,0-1 0,0 1 0,0-1 0,0 1 0,0-1 0,0 1 0,0-1 0,1 0 0,-1 0 0,0 1 0,0-1 0,0 0 0,0 0 0,2 0 0,8 0 0,0-1 0,0 0 0,0-1 0,0 0 0,0 0 0,-1-1 0,1-1 0,15-7 0,-19 8 0,79-32 0,-1-5 0,-3-3 0,-1-3 0,-2-4 0,-3-4 0,87-77 0,-146 116 0,-1-1 0,0-1 0,-1 0 0,0 0 0,14-25 0,-27 39 0,-1 1 0,0-1 0,1 0 0,-1 1 0,0-1 0,0 0 0,0 0 0,-1 0 0,1 1 0,-1-1 0,1 0 0,-1 0 0,0 0 0,0 0 0,-1 0 0,1 0 0,0 0 0,-1 0 0,0 0 0,0 1 0,0-1 0,-2-4 0,2 6 0,0-1 0,-1 1 0,1 0 0,-1-1 0,1 1 0,-1 0 0,1 0 0,-1 0 0,0 1 0,1-1 0,-1 0 0,0 0 0,0 1 0,0-1 0,0 1 0,1 0 0,-1 0 0,0-1 0,0 1 0,0 0 0,0 1 0,0-1 0,0 0 0,0 0 0,0 1 0,1-1 0,-1 1 0,0 0 0,0 0 0,1-1 0,-1 1 0,0 0 0,-1 2 0,-4 1 0,1 0 0,1 1 0,-1-1 0,0 1 0,1 0 0,0 1 0,1-1 0,-1 1 0,1 0 0,0 1 0,0-1 0,1 0 0,0 1 0,0 0 0,-2 7 0,0 1 0,1 1 0,1-1 0,0 1 0,1 0 0,0-1 0,1 18 0,1-26 0,1-1 0,0 1 0,0-1 0,0 1 0,1 0 0,-1-1 0,2 0 0,-1 0 0,1 1 0,0-1 0,0-1 0,0 1 0,1 0 0,7 8 0,-4-8 0,-1 0 0,1 0 0,1 0 0,-1-1 0,1 0 0,-1 0 0,2-1 0,-1 0 0,16 5 0,-7-5 0,-1 0 0,1-1 0,0 0 0,-1-1 0,1-1 0,0-1 0,0-1 0,0 0 0,0-1 0,0-1 0,20-5 0,-19 1 0,0 0 0,-1-1 0,0 0 0,0-2 0,-1 0 0,0 0 0,-1-2 0,0 0 0,-1-1 0,0 0 0,-1-1 0,-1 0 0,0-1 0,-1-1 0,0 0 0,-1 0 0,-1-1 0,-1 0 0,0-1 0,-2 0 0,0 0 0,0 0 0,-2-1 0,0 0 0,-2 0 0,0 0 0,-1 0 0,0 0 0,-2 0 0,0 0 0,-5-20 0,5 32 0,-1 1 0,0-1 0,0 0 0,-1 1 0,1 0 0,-1 0 0,-1 0 0,1 0 0,-6-6 0,8 10 0,0 1 0,0 0 0,0 0 0,0 0 0,-1 0 0,1 0 0,0 0 0,-1 0 0,1 0 0,0 0 0,-1 1 0,1-1 0,-1 0 0,1 1 0,-1 0 0,1-1 0,-1 1 0,1 0 0,-1 0 0,0-1 0,1 1 0,-1 0 0,1 1 0,-1-1 0,1 0 0,-1 0 0,0 1 0,1-1 0,-1 1 0,1-1 0,-1 1 0,1 0 0,0 0 0,-1-1 0,1 1 0,0 0 0,0 0 0,-1 0 0,1 0 0,0 1 0,0-1 0,-2 3 0,-1 0 0,1 0 0,-1 0 0,1 1 0,0 0 0,0 0 0,0 0 0,0 0 0,1 0 0,0 0 0,0 1 0,1-1 0,-1 1 0,1-1 0,0 1 0,1 0 0,-1-1 0,1 1 0,0 0 0,1-1 0,-1 1 0,1 0 0,0-1 0,1 1 0,-1-1 0,1 1 0,0-1 0,0 0 0,1 0 0,0 0 0,0 0 0,0 0 0,0-1 0,1 1 0,-1-1 0,1 0 0,1 0 0,-1 0 0,0 0 0,1-1 0,0 0 0,7 4 0,2-1 0,1-1 0,0-1 0,1 0 0,-1-2 0,0 1 0,1-2 0,0 0 0,-1 0 0,1-2 0,0 0 0,-1-1 0,1 0 0,24-8 0,-13 6 0,-26 4 0,-1 0 0,1 0 0,-1 0 0,1 0 0,-1 0 0,1 0 0,-1 1 0,1-1 0,-1 0 0,1 0 0,-1 0 0,1 1 0,-1-1 0,1 0 0,-1 1 0,1-1 0,-1 0 0,1 1 0,-1-1 0,0 1 0,1-1 0,-1 1 0,0-1 0,1 1 0,-1 3 0,1 0 0,-1 1 0,0-1 0,0 0 0,0 0 0,-1 0 0,0 0 0,0 0 0,-1 5 0,2-9 0,-4 19 0,-5 15 0,2 1 0,2-1 0,1 1 0,1 61 0,3-94 0,0 0 0,0 0 0,0 0 0,0 0 0,1 0 0,-1 0 0,1 0 0,-1 0 0,1 0 0,0 0 0,0 0 0,0 0 0,0 0 0,0-1 0,0 1 0,0 0 0,1-1 0,-1 1 0,1-1 0,-1 1 0,1-1 0,0 0 0,-1 0 0,1 1 0,0-1 0,0 0 0,0-1 0,0 1 0,0 0 0,0 0 0,0-1 0,0 0 0,0 1 0,3-1 0,0 0 0,0 0 0,0-1 0,0 0 0,-1 0 0,1 0 0,0-1 0,-1 0 0,1 1 0,-1-2 0,0 1 0,0 0 0,0-1 0,0 0 0,4-3 0,10-11 0,-2 0 0,0-1 0,-1-1 0,-1 0 0,-1-1 0,0 0 0,18-44 0,-15 26 0,-2-1 0,-2 0 0,12-73 0,-26 132 0,0-1 0,1 1 0,4 35 0,-3-50 0,1 1 0,0-1 0,0 1 0,1-1 0,-1 0 0,1 1 0,0-1 0,1 0 0,-1 0 0,7 8 0,-7-11 0,0-1 0,0 1 0,0 0 0,0-1 0,0 1 0,0-1 0,0 0 0,0 0 0,1 0 0,-1 0 0,0 0 0,1 0 0,-1 0 0,1-1 0,-1 0 0,1 1 0,-1-1 0,1 0 0,0 0 0,-1 0 0,1 0 0,-1-1 0,1 1 0,-1-1 0,4-1 0,2 0 0,0-1 0,0-1 0,-1 1 0,0-1 0,0 0 0,0-1 0,0 0 0,0 0 0,-1 0 0,0-1 0,0 0 0,5-7 0,8-12 0,29-52 0,-19 30 0,-29 46 0,0 1 0,0-1 0,1 1 0,-1-1 0,0 1 0,1-1 0,-1 1 0,0-1 0,1 1 0,-1-1 0,0 1 0,1 0 0,-1-1 0,1 1 0,-1 0 0,0-1 0,1 1 0,-1 0 0,1 0 0,-1-1 0,1 1 0,0 0 0,-1 0 0,1 0 0,-1 0 0,2-1 0,3 14 0,-3 35 0,-2-33 0,0-10 0,1 1 0,0-1 0,0 1 0,0-1 0,0 1 0,1-1 0,0 0 0,0 0 0,1 0 0,0 0 0,-1 0 0,2 0 0,-1-1 0,0 0 0,1 1 0,0-1 0,0 0 0,0-1 0,0 1 0,1-1 0,5 4 0,-4-4 0,0 0 0,1-1 0,-1 0 0,0 0 0,1 0 0,-1-1 0,1 0 0,-1 0 0,1 0 0,0-1 0,-1 0 0,1-1 0,0 1 0,-1-1 0,1 0 0,-1-1 0,1 0 0,6-2 0,2-3 0,-1-1 0,0 0 0,0-1 0,-1 0 0,0-1 0,0-1 0,-1 0 0,-1-1 0,0 0 0,0 0 0,-1-1 0,-1-1 0,12-21 0,-7 9 0,-1 0 0,-2-1 0,0-1 0,-2 0 0,-1 0 0,8-49 0,-15 65 0,1 0 0,-2 0 0,0 1 0,-2-19 0,1 22 0,3 14 0,10 30 0,2-15 0,0 0 0,2 0 0,1-2 0,0 0 0,1-1 0,26 19 0,-17-13 0,-1 1 0,29 35 0,-52-56 0,0-1 0,0 1 0,0 0 0,-1 0 0,1 0 0,-1 0 0,0 0 0,0 0 0,-1 1 0,1-1 0,-1 1 0,0-1 0,0 1 0,-1 0 0,1-1 0,-1 1 0,0 0 0,0-1 0,-1 1 0,1 0 0,-1-1 0,0 1 0,0-1 0,-1 1 0,1-1 0,-1 0 0,0 1 0,0-1 0,-1 0 0,1 0 0,-1 0 0,-4 4 0,-3 3 12,-1-1 0,0 1 0,-1-2 0,-1 0 0,1 0 0,-1-2 0,0 1 0,-1-1 0,-25 8 0,3-3-507,0-2 0,-65 10 0,46-14-6331</inkml:trace>
  <inkml:trace contextRef="#ctx0" brushRef="#br0" timeOffset="11035.26">1359 9823 24575,'-3'-3'0,"1"0"0,0 0 0,-1 1 0,0-1 0,1 0 0,-1 1 0,0 0 0,0 0 0,-1 0 0,1 0 0,0 0 0,-1 0 0,1 1 0,-1 0 0,1 0 0,-1 0 0,0 0 0,1 0 0,-1 1 0,0-1 0,-5 1 0,-1 0 0,1 0 0,0 0 0,-1 1 0,1 0 0,0 1 0,0 0 0,-15 5 0,15-3 0,0 1 0,1-1 0,-1 2 0,1-1 0,0 1 0,1 0 0,-1 1 0,1 0 0,-11 14 0,8-7 0,0 1 0,1 0 0,1 1 0,-13 31 0,6-2 0,3 1 0,1 0 0,-5 52 0,-2 81 0,16-144 0,2-1 0,1 1 0,7 39 0,-8-71 0,1 0 0,-1 0 0,1 1 0,0-1 0,0 0 0,0 0 0,0 0 0,1 0 0,-1 0 0,1 0 0,-1 0 0,1-1 0,0 1 0,0-1 0,1 1 0,-1-1 0,0 0 0,1 1 0,-1-1 0,5 2 0,-5-3 0,1-1 0,0 0 0,-1 1 0,1-1 0,-1 0 0,1 0 0,-1 0 0,1-1 0,-1 1 0,1-1 0,-1 1 0,1-1 0,-1 0 0,1 0 0,-1 0 0,0 0 0,0 0 0,1-1 0,-1 1 0,0-1 0,0 1 0,0-1 0,-1 0 0,1 0 0,0 1 0,2-5 0,6-6 0,0-1 0,-1 0 0,-1 0 0,0-1 0,11-26 0,23-81 0,-32 92 0,12-51 0,-2 0 0,-5-1 0,7-99 0,-16 63 0,-13-192 0,4 269 0,-1 0 0,-2 0 0,-2 1 0,-21-63 0,27 97 0,0-1 0,-1 1 0,0 0 0,0 0 0,0 0 0,-5-5 0,7 9 0,0-1 0,0 1 0,0 0 0,0 0 0,0 0 0,-1 1 0,1-1 0,0 0 0,0 0 0,-1 1 0,1-1 0,-1 0 0,1 1 0,0 0 0,-1-1 0,1 1 0,-4 0 0,4 0 0,-1 0 0,1 0 0,-1 1 0,1-1 0,-1 1 0,1-1 0,0 1 0,-1 0 0,1-1 0,0 1 0,-1 0 0,1 0 0,0 0 0,0 0 0,0 0 0,0 0 0,-2 2 0,0 2 0,0 0 0,-1 0 0,2 1 0,-1-1 0,1 0 0,-2 7 0,-7 27 0,1 0 0,3 0 0,1 1 0,-1 77 0,22 165 0,-3-197 0,31 124 0,-29-160 0,2-2 0,1 0 0,47 84 0,-55-114 0,2 0 0,0-1 0,1-1 0,0 0 0,1-1 0,17 15 0,-25-24 0,0-1 0,1 0 0,-1-1 0,1 1 0,0-1 0,0 0 0,0 0 0,0-1 0,0 0 0,0 0 0,1-1 0,-1 1 0,1-1 0,-1-1 0,1 1 0,-1-1 0,1 0 0,0-1 0,-1 1 0,1-1 0,6-2 0,-5 0 0,-1 1 0,1-1 0,-1-1 0,0 0 0,0 0 0,0 0 0,0-1 0,-1 0 0,1 0 0,-1 0 0,-1-1 0,9-10 0,-6 5 0,0-1 0,-1 0 0,-1-1 0,0 1 0,0-1 0,6-23 0,-3-5 0,-1 0 0,-2-1 0,1-77 0,-7 109 0,2-18 0,-2 0 0,-1 0 0,-1 1 0,-1-1 0,-10-38 0,13 65 0,0 0 0,0 0 0,0 0 0,0 0 0,-1 0 0,1 0 0,0 0 0,-1 0 0,1 0 0,-1 1 0,1-1 0,-1 0 0,1 0 0,-1 0 0,0 1 0,1-1 0,-1 0 0,0 1 0,0-1 0,-1 0 0,2 1 0,-1 0 0,1 1 0,-1-1 0,1 0 0,-1 1 0,1-1 0,-1 0 0,1 1 0,-1-1 0,1 1 0,-1-1 0,1 1 0,0-1 0,-1 0 0,1 1 0,0 0 0,0-1 0,-1 1 0,1-1 0,0 1 0,0-1 0,-1 2 0,-8 43 0,5-16 0,2 1 0,1 0 0,1 0 0,2 0 0,1 0 0,7 30 0,-7-47 0,1-1 0,0 0 0,1 0 0,0 0 0,1-1 0,0 1 0,10 12 0,-11-17 0,1-1 0,0 1 0,0-1 0,1 0 0,-1-1 0,1 0 0,1 0 0,-1 0 0,1-1 0,-1 0 0,16 5 0,-16-6 0,1-1 0,0-1 0,0 1 0,0-1 0,0-1 0,0 1 0,0-2 0,0 1 0,0-1 0,-1 0 0,1 0 0,0-1 0,0 0 0,-1-1 0,1 1 0,-1-2 0,1 1 0,-1-1 0,-1 0 0,1 0 0,0-1 0,-1 0 0,0 0 0,10-10 0,-1-2 0,-1 0 0,0-1 0,-1 0 0,-1-1 0,-1 0 0,-1-1 0,15-39 0,-10 11 0,-2-1 0,-2 0 0,-3-1 0,-1 0 0,-3-1 0,-2 0 0,-2 1 0,-13-97 0,11 139 0,1 0 0,-1 0 0,0 0 0,-6-14 0,8 22 0,0-1 0,0 0 0,0 1 0,0-1 0,-1 1 0,1-1 0,0 1 0,0-1 0,0 1 0,-1 0 0,1-1 0,0 1 0,-1-1 0,1 1 0,0-1 0,-1 1 0,1 0 0,-1-1 0,1 1 0,0 0 0,-1-1 0,1 1 0,-1 0 0,1 0 0,-1 0 0,1-1 0,-1 1 0,1 0 0,-1 0 0,1 0 0,-1 0 0,0 0 0,1 0 0,-1 0 0,1 0 0,-1 0 0,1 0 0,-1 0 0,1 0 0,-1 0 0,1 0 0,-1 1 0,1-1 0,-1 0 0,1 0 0,-1 1 0,1-1 0,-1 0 0,1 1 0,0-1 0,-1 0 0,1 1 0,-1-1 0,1 0 0,0 1 0,0-1 0,-1 1 0,1-1 0,0 1 0,-16 35 0,7 1 0,1-1 0,2 1 0,-2 60 0,8-31 0,8 81 0,-4-113 30,1-1 0,1 0 0,20 55 0,-23-77-129,1-1 0,1 1 0,-1-1 0,2 0 0,0-1 0,0 1 0,0-1 0,1 0 0,1-1 0,-1 0 0,1 0 0,1-1 0,0 1 0,18 10 0,7-4-6727</inkml:trace>
  <inkml:trace contextRef="#ctx0" brushRef="#br0" timeOffset="11347.95">1973 10141 24575,'-1'2'0,"1"0"0,0 0 0,1 0 0,-1 0 0,0 0 0,1 0 0,-1 0 0,1 0 0,-1 0 0,1-1 0,0 1 0,0 0 0,0 0 0,0-1 0,0 1 0,0 0 0,0-1 0,1 1 0,-1-1 0,0 0 0,1 1 0,-1-1 0,1 0 0,0 0 0,-1 0 0,1 0 0,0 0 0,0 0 0,-1-1 0,1 1 0,0-1 0,0 1 0,0-1 0,0 1 0,0-1 0,0 0 0,2 0 0,7 0 0,0-1 0,-1 0 0,1 0 0,0-1 0,16-5 0,1-2 0,0-1 0,-1-1 0,-1-1 0,0-2 0,0 0 0,-2-2 0,33-26 0,-41 29 0,-1-1 0,-1 0 0,0-1 0,-1-1 0,0 0 0,-2-1 0,0 0 0,0 0 0,-2-2 0,0 1 0,9-30 0,-16 41 0,-1 0 0,1 0 0,-1-1 0,-1 1 0,1 0 0,-1 0 0,0-1 0,-1 1 0,-2-10 0,3 14 0,-1 1 0,1-1 0,-1 0 0,0 1 0,0-1 0,-1 0 0,1 1 0,0-1 0,-1 1 0,0 0 0,1-1 0,-1 1 0,0 0 0,0 0 0,0 0 0,-1 0 0,1 1 0,0-1 0,-1 1 0,1-1 0,-1 1 0,1 0 0,-1 0 0,1 0 0,-6-1 0,5 1 0,0 1 0,0 0 0,0 0 0,0 0 0,0 1 0,0-1 0,0 1 0,0-1 0,1 1 0,-1 0 0,0 0 0,0 0 0,0 1 0,1-1 0,-1 1 0,1-1 0,-1 1 0,1 0 0,0 0 0,0 0 0,-1 0 0,-2 4 0,-2 3 0,1 0 0,0 0 0,1 0 0,-1 1 0,-4 12 0,-2 14 0,1 1 0,1 0 0,2 1 0,2 0 0,2 0 0,1 0 0,2 1 0,6 62 0,-4-86 0,1 1 0,1-1 0,0 0 0,1-1 0,1 1 0,0-1 0,1 0 0,16 27 0,-18-35 0,1 0 0,-1 0 0,1 0 0,1-1 0,-1 1 0,1-1 0,0 0 0,0-1 0,1 0 0,-1 0 0,1 0 0,0-1 0,0 0 0,0 0 0,0-1 0,1 1 0,-1-2 0,1 1 0,13 0 0,-1-2-151,0-1-1,0-1 0,0-1 0,0-1 1,0-1-1,-1 0 0,0-1 1,32-15-1,50-29-6674</inkml:trace>
  <inkml:trace contextRef="#ctx0" brushRef="#br0" timeOffset="11742.83">3052 9802 24575,'-12'0'0,"0"0"0,-1 0 0,1 1 0,0 0 0,-21 5 0,29-5 0,0 0 0,0 1 0,0 0 0,0 0 0,1 0 0,-1 0 0,1 0 0,-1 1 0,1 0 0,0 0 0,0 0 0,0 0 0,0 0 0,1 0 0,-1 1 0,1-1 0,-3 8 0,-1 2 0,1 0 0,0 1 0,1 0 0,0 0 0,2 1 0,-1-1 0,2 1 0,0-1 0,1 1 0,0-1 0,1 1 0,1-1 0,0 1 0,6 22 0,-5-29 0,-1 1 0,1-1 0,1 1 0,-1-1 0,1 0 0,1 0 0,-1-1 0,1 1 0,1-1 0,0 0 0,0 0 0,0-1 0,0 0 0,1 0 0,0 0 0,0-1 0,1 0 0,0-1 0,0 1 0,0-1 0,0-1 0,0 0 0,1 0 0,15 3 0,-16-5 0,-1 0 0,0 0 0,1-1 0,-1 0 0,1-1 0,-1 1 0,1-1 0,-1-1 0,0 1 0,0-1 0,1-1 0,-1 1 0,-1-1 0,1 0 0,7-5 0,-6 2 0,0-1 0,0 1 0,-1-1 0,0 0 0,0-1 0,-1 0 0,0 0 0,0 0 0,-1-1 0,5-9 0,2-11 0,-1 0 0,-2-1 0,0 0 0,-2 0 0,-2 0 0,3-41 0,-2-38 0,-5 0 0,-16-129 0,14 218 0,-1-1 0,-2 1 0,0 0 0,-10-29 0,10 42 0,0 12 0,2 6 0,1 0 0,1 0 0,0 1 0,0-1 0,1 0 0,1 1 0,4 15 0,-3-9 0,60 278 0,-49-247 0,2-1 0,2 0 0,47 87 0,-55-119-195,1 0 0,0-1 0,1 0 0,0-1 0,1 0 0,20 16 0,10-1-6631</inkml:trace>
  <inkml:trace contextRef="#ctx0" brushRef="#br0" timeOffset="12394.03">3412 10035 24575,'-1'0'0,"1"0"0,-1 0 0,1 0 0,0 0 0,-1 0 0,1 1 0,0-1 0,-1 0 0,1 0 0,0 0 0,-1 0 0,1 0 0,0 0 0,0 1 0,-1-1 0,1 0 0,0 0 0,-1 0 0,1 1 0,0-1 0,0 0 0,0 0 0,-1 1 0,1-1 0,0 0 0,0 1 0,0-1 0,0 0 0,-1 1 0,1-1 0,0 0 0,0 1 0,0-1 0,0 0 0,0 1 0,0-1 0,0 0 0,0 1 0,0-1 0,0 0 0,0 1 0,0-1 0,0 0 0,1 1 0,-1 0 0,0 0 0,0 0 0,1-1 0,-1 1 0,0 0 0,1-1 0,-1 1 0,1 0 0,-1-1 0,1 1 0,-1-1 0,1 1 0,-1 0 0,1-1 0,0 1 0,-1-1 0,1 0 0,0 1 0,-1-1 0,1 1 0,0-1 0,0 0 0,0 1 0,6-1 0,-1 1 0,0-1 0,1 1 0,-1-2 0,1 1 0,-1-1 0,0 0 0,1 0 0,6-3 0,59-24 0,-54 20 0,534-270 0,-522 260 0,-1-1 0,-1-2 0,33-30 0,-57 47 0,0 0 0,0 0 0,0 0 0,-1-1 0,0 0 0,0 1 0,0-1 0,0 0 0,-1-1 0,0 1 0,0 0 0,2-8 0,-4 10 0,0 1 0,0 0 0,0-1 0,0 1 0,0 0 0,0-1 0,-1 1 0,1 0 0,-1-1 0,0 1 0,0 0 0,0 0 0,0 0 0,0 0 0,0 0 0,0 0 0,0 0 0,-1 0 0,1 0 0,-1 1 0,0-1 0,1 0 0,-1 1 0,0-1 0,0 1 0,0 0 0,0 0 0,0 0 0,0 0 0,-5-2 0,-1 1 0,0 0 0,0 0 0,0 0 0,0 1 0,-1 1 0,1-1 0,0 1 0,-1 0 0,1 1 0,0 0 0,-1 1 0,1-1 0,0 2 0,0-1 0,0 1 0,1 0 0,-1 1 0,1-1 0,-1 2 0,1-1 0,0 1 0,1 0 0,-8 7 0,7-6 0,-1 0 0,1 1 0,0 0 0,1 1 0,0 0 0,0 0 0,1 0 0,0 0 0,0 1 0,1 0 0,0 0 0,0 0 0,1 0 0,0 1 0,1-1 0,0 1 0,1 0 0,0-1 0,0 16 0,2-19 0,1-1 0,-1 1 0,1-1 0,0 1 0,1-1 0,-1 0 0,1 0 0,0 0 0,0 0 0,1 0 0,-1-1 0,1 1 0,0-1 0,0 0 0,1-1 0,-1 1 0,1-1 0,0 1 0,0-1 0,0-1 0,9 5 0,0-1 0,1 0 0,0-1 0,0-1 0,0 0 0,1-1 0,29 2 0,-28-5 0,1 0 0,-1-2 0,0 0 0,1 0 0,-1-2 0,0 0 0,-1-1 0,1-1 0,-1 0 0,30-17 0,-36 17 0,-1 0 0,1 0 0,-1-1 0,-1 0 0,1-1 0,-2 0 0,1 0 0,-1-1 0,0 1 0,0-2 0,-1 1 0,-1-1 0,1 0 0,-2 0 0,1 0 0,-1-1 0,-1 1 0,3-13 0,-4 11 0,-1 0 0,0 0 0,-1 0 0,0 0 0,-3-18 0,3 27 0,0 0 0,0 1 0,-1-1 0,0 0 0,1 1 0,-1-1 0,0 0 0,0 1 0,0-1 0,-1 1 0,1 0 0,-1-1 0,1 1 0,-1 0 0,0 0 0,0 0 0,1 0 0,-2 0 0,1 0 0,0 0 0,0 1 0,-1-1 0,1 1 0,0 0 0,-1 0 0,1 0 0,-1 0 0,0 0 0,1 0 0,-5 0 0,3 1 0,0 1 0,-1 0 0,1 0 0,-1 0 0,1 0 0,0 0 0,0 1 0,0 0 0,0 0 0,0 0 0,0 0 0,1 1 0,-1 0 0,1-1 0,-1 1 0,1 1 0,0-1 0,-5 7 0,1-1 0,-1 1 0,2 0 0,-1 0 0,2 0 0,-10 23 0,13-29 0,1 0 0,0 0 0,0 0 0,0 0 0,0 1 0,0-1 0,1 0 0,0 1 0,0-1 0,0 0 0,1 1 0,-1-1 0,1 0 0,0 0 0,0 1 0,0-1 0,1 0 0,0 0 0,0 0 0,0-1 0,0 1 0,0 0 0,4 4 0,-2-4 0,1 0 0,-1 0 0,1-1 0,0 1 0,0-1 0,1 0 0,-1 0 0,0-1 0,1 0 0,0 0 0,0 0 0,-1 0 0,1-1 0,0 0 0,0 0 0,8-1 0,-7 1 0,0-1 0,0 0 0,0-1 0,-1 0 0,1 0 0,0 0 0,0-1 0,-1 0 0,1-1 0,-1 1 0,1-1 0,-1 0 0,0-1 0,0 1 0,7-7 0,-5 3 0,-1-1 0,0 1 0,0-2 0,0 1 0,-1-1 0,-1 0 0,1 0 0,-1 0 0,4-12 0,1-10 0,0 0 0,-3-1 0,0 0 0,-2 0 0,2-53 0,-6 21 0,-2 0 0,-3 0 0,-3 0 0,-2 1 0,-3 0 0,-31-92 0,13 81 0,28 69 0,0 0 0,-1 0 0,0 0 0,0 1 0,-1-1 0,1 1 0,-1 0 0,0 0 0,0 0 0,-8-5 0,11 8 0,0 0 0,0 1 0,0-1 0,0 1 0,0-1 0,0 1 0,0 0 0,0-1 0,-1 1 0,1 0 0,0 0 0,0 0 0,0 0 0,0 0 0,0 0 0,0 0 0,-1 0 0,1 0 0,0 1 0,0-1 0,0 0 0,0 1 0,0-1 0,0 1 0,0-1 0,0 1 0,0-1 0,0 1 0,0 0 0,0-1 0,1 1 0,-1 0 0,0 0 0,0 0 0,1 0 0,-1 0 0,0 0 0,0 1 0,-3 5 0,1 0 0,0 0 0,1 0 0,-4 15 0,-2 20 0,1 1 0,3-1 0,1 1 0,2 0 0,3 0 0,1 0 0,1 0 0,3 0 0,2-1 0,22 66 0,-23-85 0,2 0 0,0-1 0,2-1 0,0 0 0,1 0 0,19 22 0,-20-30 0,1 1 0,0-1 0,1-1 0,0-1 0,1 0 0,0 0 0,1-2 0,30 14 0,-18-12-455,1-1 0,36 8 0,53 2-6371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2.0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811 0 8192,'46'4'12389,"-2"7"-6443,2 10-4534,-36-14-1780,-1-1 1,1 1-1,-1 0 1,-1 1-1,1 0 0,-1 1 1,-1 0-1,8 11 0,8 18 1952,-11-7-1584,-2 1 0,-1 0 0,-1 0 0,-1 1 0,1 37 0,1-9 0,42 223-6491,12 82-4920,-41-117 11291,-19 482 120,-5-407 0,-35 343 0,27-544 0,-24 262 0,-26-3 0,23-209 0,-110 655 0,128-652 0,-21 332 0,43 372 8839,-1-803-7925,3 0 0,4-1 0,3 1-1,24 79 1,-26-124 12,2-2 0,1 1 0,1-2 0,36 55 0,-15-35-934,74 80 0,-95-114 8,0-1 0,1-1 0,1 0 0,0-1 0,0-1 0,26 13 0,-31-19 0,1 0 0,0 0 0,0-2 0,0 1 0,1-2 0,-1 1 0,0-2 0,1 0 0,0 0 0,-1-1 0,17-2 0,-21 0 0,0 0 0,0-1 0,-1 0 0,1 0 0,-1 0 0,0-1 0,0 0 0,0-1 0,0 0 0,-1 0 0,1 0 0,-1 0 0,-1-1 0,1 0 0,8-13 0,-2 2 0,-1-1 0,0 1 0,-1-2 0,-1 1 0,8-25 0,-15 36 0,0-1 0,-1 1 0,1 0 0,-1-1 0,-1 1 0,1-1 0,-2-10 0,1 17 0,0-1 0,0 1 0,0-1 0,-1 1 0,1 0 0,0-1 0,-1 1 0,1 0 0,-1 0 0,1-1 0,-1 1 0,0 0 0,1 0 0,-1 0 0,0 0 0,0-1 0,0 1 0,0 0 0,0 1 0,0-1 0,0 0 0,0 0 0,0 0 0,-1 1 0,1-1 0,0 0 0,0 1 0,-1-1 0,1 1 0,0 0 0,-1-1 0,1 1 0,0 0 0,-1 0 0,1 0 0,0 0 0,-1 0 0,1 0 0,-1 0 0,1 1 0,0-1 0,-1 0 0,1 1 0,0-1 0,-1 1 0,1-1 0,0 1 0,-2 1 0,-6 2 0,0 1 0,0 1 0,0-1 0,1 2 0,-1-1 0,2 1 0,-1 0 0,1 1 0,0 0 0,-9 13 0,-4 8 0,-30 57 0,37-57-63,1 0 1,1 1 0,1 0-1,-9 52 1,-7 129-4750,13-92-230,-5 59-2098,9-47 6782,10 153 0,63 356 358,-35-391 0,-21-185 0,33 443 0,-54 46 0,3-455 0,-4-1 0,-5 0 0,-49 151 0,48-189 0,-2-1 0,-4-1 0,-1-1 0,-3-2 0,-2-1 0,-67 83 0,77-109 714,-2-2 0,-1 0 0,-1-2-1,-36 26 1,45-38 620,-1-1-1,0 0 0,-1-1 0,0-1 0,0-1 0,-1 0 0,0-2 1,-32 5-1,-53-1-538,0-4 1,-108-10 0,163 3-729,-126-16-67,99 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5.7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642 149 8192,'-15'-22'15062,"14"18"-14176,-5-12 1188,1 11-2074,1 0 0,-1 0 0,1 1 0,-1 0 0,-1 0 0,1 0 0,0 0 0,-1 1 0,0 0 0,0 0 0,-9-3 0,-11-2 0,-40-7 0,21 5 0,21 3 0,-1 2 0,0 0 0,-39-1 0,56 6 0,1 0 0,-1 0 0,1 1 0,-1 0 0,1 0 0,0 1 0,-1 0 0,1 0 0,0 1 0,0 0 0,0 0 0,1 1 0,-1-1 0,1 2 0,0-1 0,-8 7 0,0 5-287,0 0 0,2 1 0,-1 1 0,2 0 1,0 1-1,-12 30 0,-3 23-6957,9 0-28,15-54 6820,0 0 1,1 0 0,1 0 0,3 30-1,-1-39 593,-1 0 0,1 0 0,1 0 0,0 0 0,0 0 0,1-1-1,0 0 1,6 11 0,-6-14-177,-1 0-1,1-1 1,0 1 0,1-1-1,-1 0 1,1 0-1,0-1 1,-1 1 0,2-1-1,-1 0 1,0 0 0,1-1-1,9 4 1,84 16 36,-68-16 0,55 17 0,-60-14 0,0 0 0,0-2 0,1-1 0,-1-2 0,29 2 0,-43-5 0,0-1 0,0 0 0,-1-1 0,1-1 0,0 0 0,0 0 0,-1-1 0,1-1 0,-1 0 0,0 0 0,0-1 0,-1-1 0,19-12 0,-23 13 0,-1 0 0,0 0 0,0-1 0,0 0 0,0 0 0,-1 0 0,0 0 0,0-1 0,-1 0 0,0 0 0,0 0 0,-1 0 0,1 0 0,-2 0 0,1-1 0,-1 1 0,1-11 0,-1-13 0,-1-1 0,-7-56 0,5 61 0,0 4 0,-1 1 0,-1-1 0,0 1 0,-2 1 0,-11-29 0,1 16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7.0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421 653 8192,'-1'-8'2370,"1"1"0,-1-1 0,0 0 0,-4-12-1,2 11-1052,-1-1 0,0 1 1,-7-13-1,6 15-1264,1-1 0,-1 1 0,-1 0 0,1 0 0,-1 0 1,-1 1-1,1 0 0,-1 0 0,0 1 0,0-1 1,-1 2-1,1-1 0,-1 1 0,0 0 0,0 1 0,-10-3 1,15 5-49,-1 0 1,1 1 0,-1 0 0,0-1-1,1 1 1,-1 1 0,1-1 0,-1 0-1,1 1 1,-1 0 0,1 0 0,-1 0 0,1 0-1,0 1 1,-5 1 0,3 1-47,-1 0 0,1 0 0,-1 0-1,1 1 1,0-1 0,1 1 0,-7 9 0,-3 7-519,1 0 0,2 1 1,-14 32-1,4-1-338,2 1 1,-20 99-1,31-110-2361,2 1 1,1 48 0,4-83 3087,1 1 0,1 0 0,0-1 1,0 1-1,1 0 0,0-1 1,1 1-1,0-1 0,5 11 1,-6-17 113,0 1 0,0-1-1,1 0 1,-1 1 0,1-1 0,0 0 0,0 0 0,0-1 0,0 1 0,0-1-1,1 1 1,-1-1 0,1 0 0,-1 0 0,1-1 0,0 1 0,0-1 0,0 0-1,0 0 1,0 0 0,0 0 0,0-1 0,6 1 0,-1-1 57,0-1 0,0 0 0,-1 0 0,1-1 0,0 0 0,-1-1 0,1 0 0,-1 0 0,0 0 0,0-1 0,0-1 0,-1 1 0,1-1 0,-1 0 0,0-1 0,0 0 0,-1 0 0,9-10 0,-1-2 0,-1 1 0,0-2 0,-1 0 0,-1 0 0,-1-1 0,9-27 0,-2-4 0,-2 0 0,-3-1 0,-2-1 0,5-94 0,-11 45 0,-15-151 0,-2 172 0,5 60 0,8 21 0,-1 0 0,1 0 0,0 0 0,0-1 0,0 1 0,0 0 0,0 0 0,0 0 0,-1 0 0,1-1 0,0 1 0,0 0 0,0 0 0,0 0 0,-1 0 0,1 0 0,0 0 0,0 0 0,0 0 0,-1 0 0,1-1 0,0 1 0,0 0 0,0 0 0,-1 0 0,1 0 0,0 0 0,0 0 0,0 0 0,-1 0 0,1 0 0,0 1 0,0-1 0,0 0 0,-1 0 0,1 0 0,0 0 0,0 0 0,0 0 0,0 0 0,-1 0 0,1 1 0,-2 1 0,1 1 0,-1 0 0,1 0 0,0 0 0,0 0 0,0 0 0,0 0 0,0 0 0,0 3 0,-6 38 0,3 0 0,1 0 0,2 0 0,2 1 0,2-1 0,2 0 0,2 0 0,2-1 0,1 0 0,3 0 0,23 53 0,-27-76 0,1 0 0,1-1 0,1 0 0,1-1 0,0 0 0,2-1 0,0-1 0,0 0 0,2-1 0,0-1 0,0-1 0,25 15 0,-28-20 0,0-1 0,1 0 0,0-1 0,0-1 0,1 0 0,0-1 0,-1-1 0,1 0 0,1-1 0,-1-1 0,0 0 0,0-1 0,0-1 0,0-1 0,1 0 0,-2-1 0,22-7 0,-22 5 0,-1-1 0,0-1 0,0 0 0,-1-1 0,0-1 0,0 0 0,-1 0 0,0-1 0,-1-1 0,0 0 0,-1-1 0,0 0 0,-1 0 0,0-1 0,-1 0 0,0-1 0,10-25 0,-12 26 0,-2 0 0,1 0 0,-2 0 0,0-1 0,0 1 0,-1-1 0,-1 0 0,0 0 0,-1 1 0,-1-1 0,0 0 0,0 0 0,-2 1 0,0-1 0,0 1 0,-1-1 0,-1 1 0,0 0 0,-1 1 0,-7-13 0,9 20 175,0-1 1,0 1-1,0 0 0,0 0 1,-1 0-1,0 1 1,0-1-1,0 1 1,0 1-1,-11-7 1,14 9 45,-1 0 0,1 0 1,-1 1-1,0-1 1,1 0-1,-1 1 1,0 0-1,1-1 1,-1 1-1,0 0 1,0 0-1,1 1 1,-1-1-1,0 1 1,1-1-1,-1 1 1,0 0-1,1 0 1,-1 0-1,1 0 0,0 0 1,-1 1-1,1-1 1,0 1-1,0-1 1,0 1-1,0 0 1,-3 2-1,-2 5 373,0 1-1,0-1 1,0 1-1,1 0 1,1 1 0,0-1-1,0 1 1,1 0-1,1 0 1,0 1-1,0-1 1,1 1-1,-1 12 1,1-4-400,2 1 0,0-1 1,1 0-1,0 1 0,2-1 0,9 35 1,-9-44-195,1-1 0,0 0 0,1 0 0,0 0 0,0 0 0,1-1 0,0 0 0,1 0 0,0 0 0,0-1 0,1 0 0,0 0 0,0-1 0,1 0 0,14 8 0,-11-8 0,0-1 0,1-1 0,0 0 0,0-1 0,0 0 0,0-1 0,1 0 0,-1-1 0,1-1 0,0 0 0,0 0 0,15-3 0,-10 0-197,0-1 0,0-1 0,0-1 0,0 0 0,-1-2 0,0 0 0,0-1 0,-1 0 0,0-2 0,0 0 0,-1-1 0,-1 0 0,1-1 0,-2-1 0,20-22 0,-17 15-828,-1-1 0,-1 0 0,-1-1 0,-1 0 0,0-2 0,-2 1 1,-1-1-1,-1-1 0,-1 0 0,-1 0 0,4-28 0,-5 12-62,2-74 0,-8 104 1095,0 0 0,-1 0 0,0 0 0,0 0 1,-1 0-1,-1 1 0,0-1 0,0 1 0,-1 0 1,-1 0-1,-9-18 0,13 27 1,1 0 0,-1 0 1,0 0-1,1 0 0,-1 0 0,0 0 0,0 0 1,0 0-1,1 1 0,-1-1 0,0 0 1,0 1-1,0-1 0,0 1 0,0-1 0,0 1 1,0-1-1,-1 1 0,1-1 0,0 1 1,0 0-1,0 0 0,0 0 0,0 0 1,-1 0-1,1 0 0,0 0 0,0 0 0,0 0 1,0 0-1,0 0 0,-1 1 0,1-1 1,0 1-1,0-1 0,0 1 0,0-1 0,0 1 1,0-1-1,0 1 0,0 0 0,0-1 1,1 1-1,-1 0 0,0 0 0,0 0 0,1 0 1,-2 1-1,-3 5-74,1-1 1,0 1-1,0 1 0,0-1 1,-4 15-1,0 5 904,0 1 0,-3 30-1,7-18-1248,1-1 0,2 1 0,1 0 0,3 0 0,8 46 0,11 9 2976,-19-83-2731,1 0 0,1-1-1,0 1 1,1-1 0,0 0-1,0 0 1,1-1 0,17 19-1,-19-24 84,0 0 1,1 0-1,0-1 0,0 1 0,0-1 1,1-1-1,-1 1 0,1-1 0,0 0 0,0-1 1,0 1-1,0-2 0,0 1 0,0-1 1,15 1-1,26-4 82</inkml:trace>
  <inkml:trace contextRef="#ctx0" brushRef="#br0" timeOffset="359.26">1564 717 8192,'2'3'310,"1"-1"0,0 1 0,1-1 0,-1 0 0,0 0 0,1 0 1,-1-1-1,1 1 0,3 0 0,6 1-197,-1 0 1,1-1-1,15 0 0,-9 0 603,15 1 1129,0-2 0,0-1 1,0-2-1,0-1 1,41-9-1,-52 6-1043,0 0-1,-1-2 1,28-13-1,-35 14-889,0-2 1,-1 1-1,0-2 0,-1 0 0,16-15 1,-24 21 87,-1-1 0,0 0 0,0 0 0,0 0 0,0 0 0,-1 0 0,0-1 0,0 1 0,0-1 0,-1 0 0,0 0 0,0 0 0,0 0 0,-1 0 0,0-1 0,0 1 0,0-9 0,-2 10 0,0 0 0,0 0 0,0 0 0,0 0 0,-1 0 0,1 1 0,-1-1 0,0 0 0,-1 1 0,1-1 0,-1 1 0,0 0 0,0 0 0,-1 0 0,1 0 0,-1 0 0,1 1 0,-1 0 0,0 0 0,-1 0 0,-7-4 0,9 5 0,0 0 0,0 0 0,0 1 0,-1-1 0,1 1 0,-1 0 0,1 0 0,-1 0 0,1 0 0,-1 1 0,1-1 0,-1 1 0,1 0 0,-1 0 0,0 0 0,1 1 0,-1-1 0,1 1 0,-1 0 0,1 0 0,-1 0 0,1 1 0,-5 1 0,4 0 0,0 0 0,0 1 0,1-1 0,-1 1 0,1-1 0,0 1 0,0 0 0,0 1 0,0-1 0,1 0 0,-1 1 0,1-1 0,0 1 0,1 0 0,-1 0 0,-1 6 0,2-4 0,0 0 0,0 0 0,0 1 0,1-1 0,0 0 0,0 0 0,0 0 0,1 0 0,0 0 0,1 0 0,0 0 0,0 0 0,0 0 0,1 0 0,0-1 0,7 12 0,-5-11 0,1 0 0,-1-1 0,1 1 0,0-1 0,1-1 0,0 1 0,-1-1 0,2 0 0,-1-1 0,0 0 0,1 0 0,0 0 0,0-1 0,9 2 0,1 0-321,1-1 0,1-1 0,-1-1 1,0 0-1,39-3 0,-9-4-395,55-12 1,-1-6 715</inkml:trace>
  <inkml:trace contextRef="#ctx0" brushRef="#br0" timeOffset="778.6">2770 378 8192,'-45'2'12937,"6"5"-8239,34-6-4676,1 1-1,1 0 1,-1 0-1,0 0 1,0 0-1,1 1 0,-1-1 1,1 1-1,0 0 1,0 0-1,0 0 1,0 0-1,0 0 1,1 1-1,-1 0 1,1-1-1,-3 7 1,-1 5-22,1 1 0,0-1 0,1 1 0,1 0 0,0 0 0,1 0 0,1 0 0,0 1 0,1-1 0,4 28 0,-3-39 0,0-1 0,0 1 0,1 0 0,-1 0 0,1-1 0,0 1 0,0-1 0,1 1 0,-1-1 0,1 0 0,0 0 0,0 0 0,1-1 0,-1 1 0,1-1 0,0 1 0,0-1 0,0 0 0,0-1 0,0 1 0,0-1 0,1 0 0,0 0 0,-1 0 0,1 0 0,0-1 0,0 0 0,-1 0 0,1 0 0,0-1 0,8 0 0,-1 1 0,1-2 0,-1 1 0,0-2 0,0 0 0,0 0 0,0-1 0,0 0 0,-1-1 0,1-1 0,-1 0 0,20-12 0,-22 10-28,0 0 0,-1-1 0,0 0 0,0-1 0,-1 0 0,0 0 0,0-1 0,-1 1 0,0-1 0,-1-1 0,0 1 0,-1-1 0,0 0 0,-1 0 1,0 0-1,2-17 0,0-12-921,-1-1 0,-2 0 0,-4-52 1,-1 43-2102,-15-75 0,17 117 1826,-1 0-1,-1 1 1,1-1 0,-7-13-1,9 21 1196,-1-1 0,1 1 0,0-1 0,0 1 0,0-1 0,0 1 0,0-1 0,-1 1 0,1-1 0,0 1 0,0-1 0,-1 1 0,1 0 0,0-1 0,-1 1 0,1 0 0,0-1 0,-1 1 0,1 0 0,-1-1 0,1 1 0,0 0 0,-1 0 0,1-1 0,-1 1 0,1 0 0,-1 0 0,1 0 0,-1 0 0,1 0 0,-1-1 0,1 1 0,-1 0 0,1 0 0,-1 0 0,1 0 0,-1 1 0,1-1 0,-1 0 0,1 0 0,-1 0-1,1 0 1,-1 0 0,1 1 0,-1-1 0,1 0 0,0 0 0,-1 1 0,1-1 0,-1 0 0,1 1 0,0-1 0,-1 0 0,1 1 0,0-1 0,-1 1 0,-10 30 153,7-3-124,1 0 0,2 0 0,0 0 0,7 51 0,3-15 0,19 63 0,-22-102 0,2-1 0,1 0 0,1 0 0,0-1 0,2-1 0,1 0 0,1-1 0,16 21 0,-22-33 0,1 1 0,0-2 0,1 1 0,0-1 0,0 0 0,0-1 0,21 11 0,-23-15 0,0 0 0,0 0 0,1 0 0,-1-1 0,0-1 0,1 1 0,0-1 0,-1-1 0,1 1 0,0-2 0,-1 1 0,13-3 0,12-6 0</inkml:trace>
  <inkml:trace contextRef="#ctx0" brushRef="#br0" timeOffset="905.98">3109 568 8192,'3'-7'3356,"9"-2"-3356,13-8 5996,16-7-5996,20-7 7459,21-5-7459,10-4 0,-9 4 0</inkml:trace>
  <inkml:trace contextRef="#ctx0" brushRef="#br0" timeOffset="1498.72">4442 314 8192,'5'-6'2077,"1"0"1,-1-1-1,0 0 1,6-11-1,-3 2-47,0-2 1,8-24-1,-14 35-1926,0 0 0,-1 0 0,0 0 0,0 0 0,0 0 0,-1 0 0,0 0 0,0-1 0,-1 1 0,0 0 0,0 0 1,0 0-1,-1 0 0,0 1 0,-4-9 0,3 10-110,0 0 0,0 0 1,0 1-1,0-1 0,-1 1 0,1 0 0,-1 0 1,0 0-1,-1 1 0,1-1 0,-1 1 1,1 0-1,-1 0 0,0 1 0,0-1 0,0 1 1,-1 0-1,1 1 0,0-1 0,-8 0 1,4 1 5,1 0 0,-1 0 0,1 1 0,-1 0 0,1 1 0,-1 0 0,1 0 0,-1 1 0,1 0 0,0 0 0,0 1 0,0 0 0,0 0 0,0 1 0,1 0 0,0 1 0,0 0 0,0 0 0,0 0 0,1 1 0,-1-1 0,2 2 0,-1-1 0,1 1 0,0 0 0,-5 7 0,-1 4 0,1 1 0,1 0 0,0 1 0,2 0 0,0 0 0,1 1 0,1 0 0,1 0 0,-2 31 0,6-45 0,-1-1 0,1 1 0,1-1 0,-1 1 0,1-1 0,0 0 0,0 1 0,1-1 0,0 0 0,0 0 0,1 0 0,-1 0 0,1 0 0,0-1 0,1 1 0,6 8 0,-5-9 0,1 0 0,-1-1 0,1 0 0,-1 0 0,1 0 0,0-1 0,1 1 0,-1-1 0,1-1 0,-1 1 0,1-1 0,0-1 0,0 1 0,0-1 0,8 1 0,-6-2 28,0 0 1,0 0 0,0 0-1,-1-1 1,1-1 0,0 0 0,0 0-1,-1 0 1,1-1 0,-1-1-1,0 1 1,0-1 0,0 0 0,0-1-1,7-6 1,-6 4-252,0-1-1,0 0 0,-1 0 1,-1-1-1,13-17 1,-13 16-867,-2 0 0,1-1 0,4-12 1,17 60-11692,-23-28 12781,0 0 0,1 1 0,0-1 0,1-1 0,-1 1 0,2-1 0,-1 0 0,1 0 0,0-1 0,1 0 0,0 0 0,0-1 0,0 0 0,1 0 0,0-1 0,0 0 0,1-1 0,-1 0 0,1 0 0,0-1 0,0 0 0,0-1 0,0 0 0,0 0 0,11-1 0,10 0 0,1-2 0,0-1 0,0-1 0,-1-2 0,0-1 0,0-1 0,41-16 0,8-8 0</inkml:trace>
  <inkml:trace contextRef="#ctx0" brushRef="#br0" timeOffset="2498.29">950 2791 8192,'16'-17'702,"0"-2"0,-1 0 1,-1-1-1,-1 0 0,16-35 1,-16 27 2135,-1-1 1,-2 0-1,13-57 1,-21 74-2425,0-1 0,-1 1-1,0 0 1,-2-23 0,1 32-400,0 0 0,-1 0-1,1 1 1,0-1 0,-1 0 0,0 0-1,0 1 1,0-1 0,0 0 0,0 1-1,0-1 1,-1 1 0,1 0-1,-1-1 1,0 1 0,1 0 0,-1 0-1,0 0 1,0 0 0,-1 0 0,1 1-1,0-1 1,0 1 0,-1-1-1,1 1 1,-1 0 0,-2-1 0,3 2-14,1-1 0,-1 1 0,1 0 0,-1 0 0,1 0 0,-1 0 0,1 0 0,-1 1 0,1-1 0,0 0 0,-1 1 0,1-1 0,-1 1 0,1-1 0,0 1 0,-1 0 0,1-1 0,0 1 0,0 0 0,-1 0 0,0 2 0,-2 0 0,1 1 0,0-1 0,0 1 0,1 0 0,-1 0 0,-2 6 0,-2 9-13,0 0-1,1 1 1,1-1 0,1 1 0,0 0 0,2 1 0,-1 33 0,16 151-2475,-12-197 2284,70 639-7594,-68-607 6258,35 251-4145,-30-267 5475,-7-26 210,-1 1 1,1 0-1,0-1 1,-1 1-1,1-1 1,-1 1-1,1-1 1,-1 1-1,0 0 1,0-1 0,0 1-1,0-1 1,0 1-1,0-3 1,5-290-1,-5 86 0,22-170 0,-12 298 0,3 1 0,38-129 0,-41 178 0,1 0 0,28-54 0,-35 77 0,1-1 0,-1 1 0,1 0 0,1 0 0,-1 1 0,1-1 0,1 1 0,-1 1 0,1-1 0,0 1 0,0 0 0,0 1 0,1-1 0,-1 1 0,11-3 0,-14 6 0,1 0 0,0 0 0,0 1 0,-1-1 0,1 1 0,0 0 0,0 0 0,0 1 0,-1 0 0,1-1 0,0 1 0,-1 1 0,1-1 0,-1 1 0,1 0 0,-1 0 0,0 0 0,1 1 0,-1-1 0,0 1 0,-1 0 0,1 0 0,0 0 0,-1 1 0,6 6 0,1 3 0,-1 1 0,0 0 0,0 0 0,-2 0 0,1 1 0,5 20 0,-8-22 0,-1-1 0,-1 1 0,0-1 0,-1 1 0,0 0 0,-1 0 0,-1 0 0,0 0 0,0 0 0,-1 0 0,-1 0 0,0 0 0,-1 0 0,-1 0 0,0-1 0,0 0 0,-1 0 0,-1 0 0,0 0 0,0-1 0,-1 0 0,-1 0 0,0-1 0,0 0 0,-1 0 0,0-1 0,-1 0 0,-12 8 0,0 0-62,-1-2 0,-44 23 0,58-34 334,0 1-1,-1-1 0,0-1 0,0 0 0,0-1 0,0 1 0,0-2 0,0 0 0,0 0 0,-16-1 0,-8-8 289</inkml:trace>
  <inkml:trace contextRef="#ctx0" brushRef="#br0" timeOffset="3388.56">2114 2600 8192,'-1'-10'1413,"0"0"-1,0 0 1,-1 0 0,0 0 0,0 1-1,-1-1 1,-4-9 0,0 5-326,0 0-1,0 1 1,-1 0 0,-13-15 0,11 15-959,-1 1 1,-1 0-1,0 0 1,0 1 0,-1 1-1,-1 0 1,1 1-1,-2 1 1,-17-9 0,29 16-131,0-1 1,-1 1-1,0 0 0,1 0 1,-1 0-1,0 0 1,1 1-1,-1-1 1,0 1-1,0 0 1,0 0-1,1 0 1,-1 1-1,0-1 1,0 1-1,1 0 1,-1 0-1,-5 3 0,5-2 8,0 1-1,0 0 0,0 0 0,1 0 0,0 0 1,-1 0-1,1 1 0,0 0 0,1 0 0,-1-1 0,1 1 1,0 1-1,-2 4 0,-3 10-95,0 1 1,2 0-1,1 0 0,0 1 0,-1 31 0,4-30-725,0-1 0,1 1 0,1-1 0,6 32 0,-6-47 297,0 0-1,0 0 1,1 0 0,0-1 0,0 1 0,1-1 0,0 1 0,0-1 0,0 0 0,0 0 0,1 0 0,0 0 0,0-1 0,0 0 0,0 0 0,1 0 0,0 0 0,0 0-1,0-1 1,10 5 0,-8-5 408,1-1 0,-1 1-1,1-1 1,0-1 0,0 0-1,-1 0 1,1 0 0,0-1-1,0 0 1,0-1 0,0 0-1,0 0 1,0-1 0,-1 1-1,1-2 1,-1 1-1,1-1 1,-1 0 0,0-1-1,0 0 1,0 0 0,-1 0-1,1-1 1,-1 0 0,0 0-1,6-7 1,-4 4 261,-1-1-1,0 0 1,0 0-1,0-1 1,-2 1-1,1-1 1,-1-1-1,0 1 1,-1-1-1,-1 0 1,1 0-1,-2 0 1,1 0-1,-2 0 1,0-1-1,0 1 1,-1-19-1,0 28-137,0 0 0,-1 0 0,1 0-1,0 0 1,-1 0 0,1 0 0,-1 0 0,0 0-1,0 0 1,0 0 0,0 0 0,0 1-1,0-1 1,0 0 0,0 1 0,-1-1 0,1 1-1,0-1 1,-4-1 0,5 3 8,-1 0 0,1-1-1,-1 1 1,1 0 0,-1 0 0,0 0-1,1 0 1,-1 0 0,0 0 0,1 0-1,-1 0 1,1 0 0,-1 0 0,0 0-1,1 0 1,-1 0 0,1 0 0,-1 1-1,0-1 1,1 0 0,-1 0 0,1 1-1,-1-1 1,-1 2-197,1-1 0,-1 0 0,1 1 0,0-1 1,0 1-1,0-1 0,0 1 0,0 0 0,0-1 0,0 1 0,-1 2 0,1 1 226,-1-1 0,1 1 1,0 0-1,0-1 0,0 1 0,1 0 0,-1 0 0,1 0 1,0 0-1,1-1 0,-1 1 0,1 0 0,0 0 1,0-1-1,1 1 0,-1 0 0,1-1 0,0 1 0,0-1 1,0 0-1,1 0 0,0 0 0,0 0 0,0 0 0,0-1 1,0 1-1,1-1 0,-1 0 0,1 0 0,0 0 0,7 4 1,-1-1 81,0 0 0,0-1 0,1-1 1,0 1-1,-1-2 0,1 0 1,1 0-1,-1-1 0,0 0 1,0-1-1,1 0 0,19-1 1,-22-1 586,1-1 1,-1 0 0,1 0 0,-1-1 0,0 0-1,0 0 1,0-1 0,-1-1 0,1 1 0,-1-1 0,0-1-1,0 1 1,8-9 0,-7 5-448,0-2 0,0 1 0,-1-1 0,0 0 1,-1-1-1,0 0 0,-1 0 0,7-19 0,-4 3-425,-1-1 0,-1 0 1,-2-1-1,-1 0 0,-1 1 0,-2-1 0,-3-52 1,2 72-1098,-1 0 0,0 1 0,-1-1 0,0 1 0,0-1 0,-1 1 1,-5-10-1,8 18 1170,0 1 0,0 0 0,0 0 0,0-1 0,0 1 1,0 0-1,0 0 0,0 0 0,0-1 0,-1 1 0,1 0 1,0 0-1,0 0 0,0-1 0,0 1 0,-1 0 0,1 0 0,0 0 1,0 0-1,-1-1 0,1 1 0,0 0 0,0 0 0,0 0 1,-1 0-1,1 0 0,0 0 0,0 0 0,-1 0 0,1 0 0,0 0 1,0 0-1,-1 0 0,1 0 0,0 0 0,-1 0 0,1 0 1,0 0-1,0 0 0,-1 0 0,1 0 0,0 0 0,0 0 0,0 0 1,-1 1-1,1-1 0,0 0 0,0 0 0,-1 0 0,1 0 1,0 1-1,0-1 0,0 0 0,0 0 0,-1 0 0,1 1 0,0-1 1,0 0-1,0 0 0,0 0 0,0 1 0,0-1 0,0 0 1,0 1-1,0-1 0,0 1 0,-6 19-145,2 1 225,2 0 0,0 0 0,2 1 0,0-1 0,1 0 0,1 0 0,1 0 0,12 40 0,-11-48 0,0 0 0,1 0 0,1-1 0,0 0 0,1 0 0,0-1 0,1 1 0,0-2 0,1 1 0,0-1 0,1-1 0,0 1 0,0-2 0,1 1 0,13 7 0,-11-9 0,0 0 0,1-1 0,-1-1 0,1 0 0,1 0 0,-1-2 0,0 0 0,1 0 0,0-1 0,-1-1 0,27-1 0,-32-1 0,0 0 0,1-1 0,-1 0 0,0-1 0,0 1 0,-1-1 0,1-1 0,-1 0 0,1 0 0,-1-1 0,-1 0 0,1 0 0,-1-1 0,1 0 0,-2 0 0,1-1 0,-1 0 0,0 0 0,10-15 0,-8 7 0,0-1 0,-1-1 0,0 1 0,-1-1 0,-1 0 0,-1-1 0,-1 1 0,3-36 0,-4-10 0,-7-74 0,4 111 0,-2-28 0,1-6 0,-18-99 0,8 119 0,11 40 0,1 0 0,0-1 0,0 1 0,0 0 0,0 0 0,0 0 0,0-1 0,0 1 0,0 0 0,-1 0 0,1 0 0,0-1 0,0 1 0,0 0 0,0 0 0,-1 0 0,1 0 0,0-1 0,0 1 0,0 0 0,-1 0 0,1 0 0,0 0 0,0 0 0,0 0 0,-1 0 0,1 0 0,0 0 0,0 0 0,-1-1 0,1 1 0,0 0 0,0 1 0,-1-1 0,1 0 0,0 0 0,0 0 0,-1 0 0,1 0 0,0 0 0,0 0 0,0 0 0,-1 0 0,1 0 0,0 0 0,0 1 0,0-1 0,-1 0 0,1 0 0,0 0 0,0 0 0,0 1 0,0-1 0,-1 0 0,1 0 0,0 0 0,0 1 0,0-1 0,0 0 0,0 0 0,0 1 0,0-1 0,0 0 0,0 0 0,0 1 0,0-1 0,-4 11 0,1 0 0,1 0 0,0 0 0,1 1 0,0-1 0,0 12 0,0-4 0,-2 246 0,6-218 0,1 0 0,3 0 0,20 73 0,-23-104 0,2 0 0,0 0 0,12 19 0,-14-28 0,0-1 0,0 0 0,1 0 0,-1 0 0,1-1 0,1 0 0,-1 0 0,1 0 0,10 6 0,15 4 0</inkml:trace>
  <inkml:trace contextRef="#ctx0" brushRef="#br0" timeOffset="4400.82">2283 2516 8192,'195'-8'11415,"0"-19"-5583,-6-17-4818,-8-19-4050,-155 52 2262,1-1-1,-1-2 1,26-18 0,-43 26-41,-1 0 0,0-1 0,0 0 0,-1 0 0,1-1 0,-2 1 0,1-2 0,-1 1 0,0-1 0,-1 0 0,8-17 0,-12 22 616,0 0 0,0 0 0,-1 0 1,1 0-1,-1 0 0,0 0 0,0 0 1,0 0-1,-1 0 0,1 0 0,-2-4 1,1 7 199,1-1 0,0 1-1,0 0 1,-1 0 0,1 0 0,0 0 0,-1 0 0,0 0 0,1 0 0,-1 0-1,1 0 1,-1 0 0,0 0 0,0 1 0,1-1 0,-1 0 0,0 0 0,0 1-1,0-1 1,0 0 0,0 1 0,0-1 0,0 1 0,0-1 0,0 1 0,0 0 0,0-1-1,0 1 1,0 0 0,-1 0 0,1 0 0,0 0 0,0 0 0,0 0 0,0 0-1,0 0 1,0 0 0,-1 0 0,1 1 0,0-1 0,-2 1 0,1 0 73,0 1 1,0-1 0,0 0 0,0 1-1,0 0 1,0-1 0,0 1-1,1 0 1,-1 0 0,1 0-1,-1 0 1,1 0 0,0 0 0,0 0-1,0 1 1,0-1 0,0 0-1,0 1 1,1-1 0,-1 1-1,1-1 1,-1 0 0,1 1 0,0-1-1,0 1 1,0 2 0,1 0 377,-1 0 1,0-1-1,1 1 1,0-1-1,0 1 1,0-1-1,1 1 1,-1-1 0,1 1-1,0-1 1,0 0-1,1 0 1,3 5-1,0-3 269,0-1 0,0 1-1,1-1 1,0 0-1,0-1 1,0 0 0,10 5-1,-3-4-358,0 0-1,0 0 1,22 3-1,-1-3-1064,1-1 1,52-2-1,-69-2-151,0-1 0,0-1 0,-1 0 0,32-8 0,-45 8 437,0 0-1,0 1 1,0-1-1,0-1 1,-1 1-1,1-1 1,-1 0-1,0 0 1,0 0-1,0 0 1,0-1-1,0 0 1,-1 0-1,1 0 0,-1 0 1,0 0-1,-1-1 1,1 1-1,-1-1 1,1 0-1,2-9 1,-3 5 417,0 0 0,-1 1 0,0-1 0,0 0 0,-1 0 0,0 0 0,-1 0 0,0 1 0,-3-16 0,3 21 0,1 0 0,-1 0 0,0 0 0,0 0 0,-1 0 0,1 0 0,-1 1 0,1-1 0,-1 0 0,0 1 0,0-1 0,0 1 0,0 0 0,-1-1 0,1 1 0,-1 0 0,1 1 0,-1-1 0,0 0 0,1 1 0,-1-1 0,0 1 0,0 0 0,0 0 0,0 0 0,0 0 0,-1 1 0,1-1 0,-4 1 0,4 0 8,0 0 0,1 0 0,-1 0 0,0 1 0,0-1 0,0 1 0,0 0 0,1 0 1,-1 0-1,0 0 0,1 0 0,-1 1 0,1-1 0,-1 1 0,1 0 0,-1-1 0,1 1 0,0 0 0,0 0 1,0 1-1,0-1 0,1 0 0,-1 1 0,1-1 0,-1 1 0,1-1 0,0 1 0,0 0 0,0-1 0,0 1 1,0 0-1,1 0 0,-1 5 0,0-4 175,1 1 1,-1 0-1,1 0 1,0 0-1,0 0 1,1-1 0,0 1-1,0 0 1,0 0-1,0 0 1,1-1-1,-1 1 1,1-1-1,0 1 1,1-1-1,-1 0 1,1 0-1,0 0 1,5 5-1,-1-3 572,0-1 0,1 0 0,0-1 0,0 0 0,0 0 0,0-1-1,1 0 1,-1-1 0,1 0 0,0 0 0,11 1 0,-4-1-176,-1-1 0,1-1 0,0-1 0,-1 0 0,26-5 0,2-9 755,-40 14-1322,-1 0 0,-1 0 1,1 0-1,0-1 0,0 1 1,0 0-1,-1-1 0,1 0 1,-1 1-1,1-1 0,-1 0 1,0 0-1,1 0 1,-1 0-1,0 0 0,1-4 1,-1-3-13,-4 11 0,-5 16 0,7-14-202,1 0 1,0 0 0,0 0 0,0-1 0,0 1 0,0 0-1,1 0 1,0 0 0,0-1 0,3 8 0,-3-8 254,1 0 1,0 0 0,0 1-1,0-2 1,1 1-1,-1 0 1,1 0 0,0-1-1,-1 1 1,1-1 0,0 0-1,1 0 1,-1 0-1,0 0 1,5 1 0,-1 0 49,0-1 0,0 0 1,1 0-1,-1-1 0,0 0 1,1 0-1,10-1 0,27-6-2371,-34 2 1622,-1 0 1,0 0-1,0-1 1,0 0-1,-1 0 0,0-1 1,0 0-1,0-1 1,-1 0-1,0-1 1,-1 1-1,8-11 0,-10 13 113,-1-1-1,0-1 0,0 1 0,-1-1 1,0 1-1,0-1 0,0 0 1,-1 0-1,0 0 0,1-10 0,-2 11 450,-1 1 0,0-1 0,0 0 0,-1 1 0,1-1 0,-1 0-1,-1 1 1,-2-10 0,3 11 66,-1 1-1,0-1 1,0 1 0,0 0-1,0 0 1,0 0-1,0 0 1,-1 0 0,0 1-1,1-1 1,-5-2 0,7 5 18,-1-1 0,0 0 1,0 1-1,0-1 0,0 1 1,0-1-1,0 1 1,0 0-1,0-1 0,0 1 1,0 0-1,0 0 0,0 0 1,0 0-1,-1 0 1,1 0-1,0 0 0,0 0 1,0 0-1,0 0 0,0 0 1,0 1-1,0-1 1,0 0-1,0 1 0,0-1 1,0 1-1,0-1 0,0 1 1,0 0-1,0-1 1,1 1-1,-1 0 0,0 0 1,0-1-1,1 1 0,-1 0 1,0 0-1,1 0 1,-1 0-1,1 0 0,-1 1 1,-2 5 190,1 0 1,-1-1 0,1 1 0,1 0-1,-1 0 1,1 0 0,1 1 0,-1-1-1,1 0 1,1 0 0,-1 0 0,3 11-1,-2-9 507,1 0-1,0-1 1,1 1-1,0-1 1,0 1-1,1-1 1,0 0 0,0 0-1,1-1 1,6 8-1,-10-13-357,0 0-1,1-1 1,0 1 0,-1-1-1,1 1 1,0-1 0,0 1-1,0-1 1,0 0-1,0 0 1,0 0 0,0 0-1,1-1 1,-1 1 0,0 0-1,0-1 1,1 1 0,-1-1-1,0 0 1,4 0-1,-2-1-313,-1 1-1,1-1 0,0 0 0,-1-1 1,1 1-1,-1-1 0,1 1 0,-1-1 1,1 0-1,-1-1 0,4-2 0,5-6-729,0-1-1,-1 0 0,0-1 0,14-22 0,6-16-3063,8-28 2767,-3 6-785,-9 27-2966,-25 43 4547,0 0 0,0 0 1,0 0-1,1 1 0,-1-1 0,0 1 1,1 0-1,0-1 0,0 1 0,-1 0 1,1 0-1,4-1 0,-6 3 202,0-1 0,1 1-1,-1 0 1,0 0 0,1 0 0,-1 0-1,0 0 1,0 0 0,1 0 0,-1 0-1,0 1 1,1-1 0,-1 1 0,0-1-1,0 0 1,1 1 0,-1 0 0,0-1-1,0 1 1,0 0 0,0 0 0,0-1-1,0 1 1,0 0 0,0 0 0,0 0-1,-1 0 1,1 0 0,0 1 0,0-1-1,-1 0 1,1 2 0,31 58 3,-27-48 0,0-1 0,1 1 0,1-2 0,0 1 0,1-1 0,0 0 0,1 0 0,10 9 0,-11-13 0,1-1 0,0-1 0,0 1 0,0-2 0,0 1 0,1-1 0,-1-1 0,1 1 0,0-2 0,0 1 0,0-2 0,1 1 0,-1-1 0,0-1 0,1 0 0,-1 0 0,0-1 0,1 0 0,18-5 0,-3-1 0,-1-1 0,0-1 0,0-1 0,-1-1 0,-1-1 0,36-24 0,-6-4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2.5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421 613 8192,'-7'-13'6875,"-15"-30"3209,15 31-9507,0 1 0,0 0 0,-13-15 0,16 22-813,0 0-1,0 0 1,-1 0-1,1 1 0,-1-1 1,0 1-1,1 0 1,-1 1-1,-1-1 1,-5-1-1,6 2 407,0 1-1,0 0 1,0 1-1,0-1 1,-1 1-1,1 0 1,-9 1 0,8 0-170,1 0 0,-1 1 0,1-1 0,0 1 0,0 1 0,-1-1 0,1 1 0,1 0 0,-1 0 0,0 0 0,1 1 0,-1-1 0,1 1 0,0 0 0,0 0 0,1 1 0,-5 5 0,-3 8 0,0 0 0,2 1 0,-12 27 0,2 7-239,2 0 0,2 1 0,-9 66 0,-4 171-2751,31-75-1568,0-181 3169,2 0-1,1 0 1,2-1 0,12 35-1,-15-57 1190,-1-1 0,1 1 0,1-1 0,0 0 0,1-1 0,0 1 0,0-1-1,1-1 1,10 10 0,-13-14 169,1-1-1,-1 0 0,1 0 0,0 0 1,0-1-1,0 0 0,1 0 1,-1-1-1,1 1 0,-1-1 1,1-1-1,0 1 0,0-1 1,-1 0-1,1-1 0,0 0 0,10-1 1,0-1 31,0-1 0,0-1 0,-1-1 0,1 0 0,-1-2 0,0 1 0,0-2 0,-1 0 0,0-1 0,20-16 0,-7 3 0,-2-1 0,0-1 0,-1-1 0,25-33 0,1-15 0</inkml:trace>
  <inkml:trace contextRef="#ctx0" brushRef="#br0" timeOffset="900.06">781 1164 8192,'-21'4'10329,"4"7"-4348,14-8-5606,0 0-1,0 1 1,1-1 0,-1 1-1,1 0 1,0-1 0,-3 9-1,1-1-1030,0 1 0,1-1 0,-2 15 0,2-3 1995,2-22-1339,-2 19 0,1 0 0,0 0 0,2 0 0,3 39 0,-2-54 0,0-1 0,0 0 0,0 0 0,0 1 0,0-1 0,1 0 0,0 0 0,0 0 0,0-1 0,0 1 0,1 0 0,0-1 0,-1 0 0,1 1 0,0-1 0,1 0 0,-1-1 0,0 1 0,1 0 0,0-1 0,-1 0 0,1 0 0,0 0 0,0 0 0,0-1 0,0 0 0,1 1 0,-1-2 0,5 2 0,-4-1 0,-1-1 0,1 1 0,-1-1 0,1 0 0,-1 0 0,1-1 0,-1 0 0,1 1 0,-1-1 0,1-1 0,-1 1 0,0 0 0,0-1 0,0 0 0,0 0 0,0-1 0,4-2 0,-3 1 0,0-1 0,-1 1 0,1-1 0,-1 0 0,0-1 0,-1 1 0,1 0 0,-1-1 0,0 0 0,3-11 0,-1 3 0,-1-1 0,-1 0 0,0 0 0,-1 0 0,-1 0 0,0 0 0,-2 0 0,1 0 0,-5-23 0,3 28 0,-1 1 0,0-1 0,0 1 0,-1 0 0,0 0 0,-1 0 0,0 1 0,0 0 0,-1 0 0,0 0 0,-1 0 0,1 1 0,-1 0 0,-11-8 0,13 11 0,-1 0 0,-1 0 0,1 0 0,-1 1 0,1-1 0,-1 2 0,0-1 0,0 1 0,0 0 0,-1 0 0,1 1 0,0 0 0,-1 0 0,1 1 0,0 0 0,-1 0 0,1 1 0,-1 0 0,-11 3 0,14-3 0,0 1 0,1 0 0,-1 0 0,0 0 0,1 0 0,-1 1 0,1 0 0,0 0 0,0 0 0,0 0 0,0 1 0,0 0 0,1-1 0,0 1 0,0 0 0,0 1 0,0-1 0,0 1 0,1-1 0,0 1 0,0 0 0,0 0 0,1-1 0,0 1 0,0 0 0,0 1 0,0-1 0,1 0 0,0 0 0,0 0 0,0 0 0,0 0 0,1 0 0,0 0 0,0 1 0,1-2 0,-1 1 0,1 0 0,0 0 0,0 0 0,1-1 0,2 5 0,4 2 0,0-1 0,1 0 0,0-1 0,0 0 0,1-1 0,0 0 0,0-1 0,1 0 0,0 0 0,0-2 0,0 1 0,26 6 0,-13-5 0,0-1 0,0-2 0,1 0 0,0-1 0,47-3 0,-60 0 0,-1-2 0,1 0 0,-1 0 0,1-1 0,-1-1 0,0 0 0,0-1 0,-1 0 0,1-1 0,17-11 0,-24 13 0,0 0 0,0 0 0,0 0 0,0-1 0,-1 0 0,1 0 0,-1 0 0,0 0 0,-1-1 0,0 1 0,1-1 0,-2 0 0,1 0 0,-1 0 0,0 0 0,0-1 0,0 1 0,-1 0 0,0-1 0,-1 1 0,1-1 0,-1-6 0,0 12 0,0 0 0,0 0 0,0 0 0,0 0 0,0 0 0,0 0 0,0 0 0,0 0 0,0 0 0,0 0 0,-1 1 0,1-1 0,0 0 0,0 0 0,-1 0 0,1 0 0,-1 0 0,1 1 0,-1-1 0,1 0 0,-1 0 0,1 1 0,-1-1 0,0 0 0,1 1 0,-2-1 0,1 1 0,0 1 0,1 0 0,-1 0 0,0 0 0,1 0 0,-1 0 0,1 0 0,-1-1 0,1 1 0,-1 1 0,1-1 0,0 0 0,0 0 0,-1 0 0,1 0 0,0 0 0,0 0 0,0 0 0,0 0 0,0 0 0,0 0 0,1 1 0,-1 5-6,1 0 0,1-1 1,-1 1-1,1-1 0,0 1 1,0-1-1,1 0 0,0 0 1,0 0-1,1 0 0,-1-1 1,1 1-1,0-1 0,1 0 1,-1 0-1,1 0 0,0-1 1,0 0-1,1 0 0,10 7 1,-8-6-178,0-1 0,1 1 0,0-1 0,-1 0 1,1-1-1,1 0 0,-1-1 0,0 0 1,1 0-1,-1-1 0,1 0 0,-1-1 0,1 0 1,12-1-1,-12-2 223,0 0-1,0 0 1,0-1 0,-1 0 0,1-1-1,-1 0 1,0 0 0,0-1 0,-1 0-1,1 0 1,-1-1 0,10-12 0,-10 10-1106,0 0 1,-1-1-1,0 0 1,0 0-1,-1-1 1,-1 0-1,0 0 1,0 0-1,-1 0 1,4-17-1,-8 25 1640,1 0-1,0 0 1,-1 1 0,0-1-1,1 0 1,-1 0-1,0 0 1,-1 0 0,1 1-1,0-1 1,-1 0-1,-12-12 5899,13 15-6375,-7 13 796,-1 12-1173,8-20 203,-1 0 0,1 0 1,0 0-1,1-1 0,-1 1 1,1 0-1,0 0 0,0-1 1,1 1-1,-1 0 0,1-1 1,0 1-1,0-1 0,1 0 1,-1 0-1,1 0 0,0 0 1,0 0-1,0 0 0,0-1 1,1 0-1,0 1 1,-1-1-1,1-1 0,7 5 1,2 1-262,1-1 1,0 0-1,0-1 1,0 0-1,1-1 1,27 5-1,-14-5-842,1-2 0,-1-1-1,1-2 1,0 0-1,0-2 1,-1-1-1,1-2 1,-1 0 0,29-10-1,-31 6 871,0-1-1,-1 0 1,0-2 0,-1-1-1,38-27 1,-56 36 310,-1 0 0,1 0 0,-1-1 0,0 1 0,0-1 0,-1 0 0,0-1 0,0 1 0,0-1 0,0 0 0,4-11 0,-3-10 0</inkml:trace>
  <inkml:trace contextRef="#ctx0" brushRef="#br0" timeOffset="1654.1">2178 1312 8192,'5'-27'7958,"15"-14"-4175,-9 21-580,8-18-2646,-2-1 0,-2-1 0,-1 0 0,-2-1 0,10-67 0,-20 88-631,-1 0 1,0 0-1,-2-1 0,0 1 1,-7-37-1,5 44 92,-1 0 0,0 0-1,-1 1 1,-1 0 0,1 0 0,-2 0-1,0 1 1,0 0 0,-16-19 0,21 28-18,1 0 0,-1 0 0,0 0 0,0 0 0,0 1 0,0-1 0,0 0 0,0 1 0,0-1 0,0 1 0,-1 0 0,1 0 0,-1 0 0,1 0 0,0 0 0,-1 1 0,0-1 0,1 1 0,-1-1 0,1 1 0,-1 0 0,1 0 0,-4 0 0,3 2 0,0-1 0,0 0 0,0 1 0,1 0 0,-1 0 0,0 0 0,1 0 0,-1 0 0,1 0 0,0 1 0,0-1 0,-1 1 0,2 0 0,-1-1 0,0 1 0,1 0 0,-1 0 0,-1 5 0,-3 8-303,0 0 0,2 1 0,-1 0 1,2 0-1,0 1 0,2-1 0,-1 1 1,3 26-1,1-15-737,1 0 0,2 0 0,0 0-1,14 38 1,-14-53 520,1 0-1,0 0 1,1 0-1,1-1 1,0 0-1,0-1 0,2 0 1,-1 0-1,1-1 1,1 0-1,0 0 1,1-2-1,0 1 1,13 7-1,-7-7 292,1 0 0,0-1 1,0-2-1,1 0 0,0-1 0,0 0 0,0-2 0,1 0 1,37 0-1,-34-3 193,0-1 1,1-2 0,-1-1-1,0 0 1,44-13-1,-57 12 89,0 0 0,0-1 0,-1 0 0,1-1 0,-1 0 0,11-9 0,-15 11 140,-1-1 0,-1 0 0,1 1 0,0-2 0,-1 1 1,0-1-1,0 1 0,-1-1 0,0 0 0,0 0 0,4-11 1,-6 12-252,0 0 0,-1 0 0,1-1 1,-1 1-1,0 0 0,-1-1 0,1 1 1,-1 0-1,0 0 0,0 0 0,-1-1 1,0 1-1,1 1 0,-2-1 0,1 0 1,0 0-1,-1 1 0,0-1 0,0 1 1,-1 0-1,1 0 0,-5-4 0,2 2 641,0 1-1,0 0 0,0 0 0,0 0 1,-1 1-1,-10-5 0,13 7 348,-1 0-1,1 0 1,-1 0 0,0 1 0,0 0-1,0 0 1,0 0 0,0 1 0,0-1-1,-5 2 1,8-1-820,-1 0 1,1 1-1,-1-1 1,1 1-1,-1 0 0,1 0 1,-1 0-1,1 0 0,0 0 1,-1 0-1,1 1 1,0-1-1,0 1 0,0-1 1,0 1-1,0 0 0,1 0 1,-1 0-1,-2 3 1,2-1-52,-1 1 0,1 0 0,0 0 1,1-1-1,-1 1 0,1 1 1,0-1-1,0 0 0,-1 7 0,2-2-289,0-1 0,0 1 0,1 0 0,0 0 0,0-1 0,1 1 0,1-1 0,-1 0 0,2 1 0,3 8 0,-4-14 284,-1 0-1,0 0 1,1 0-1,0-1 1,0 1-1,0-1 1,0 0-1,0 0 1,1 0-1,0 0 1,-1 0-1,1-1 1,0 0-1,0 0 1,0 0-1,1 0 1,-1 0 0,0-1-1,1 0 1,-1 0-1,0 0 1,1-1-1,0 1 1,-1-1-1,1 0 1,-1 0-1,1-1 1,-1 1-1,1-1 1,-1 0-1,1 0 1,-1-1-1,0 1 1,0-1-1,0 0 1,0 0-1,0 0 1,0-1-1,0 1 1,0-1 0,-1 0-1,6-6 1,0-2-333,1 0 0,-2-1 0,1 0 1,-2-1-1,0 1 0,0-1 0,-1-1 1,-1 1-1,0-1 0,4-19 0,1-14-2364,6-89 0,-10 46-206,-4-1 0,-11-97 1,-14 36 1927,21 142 880,0 0 1,-1 1-1,0-1 1,-7-15 0,9 24 40,1 0 0,0 0 0,0 1 0,-1-1 0,1 1 0,0-1 0,-1 0 0,1 1 0,0-1 0,-1 1 0,1-1 0,-1 1 0,1-1 0,-1 1 0,1-1 0,-1 1 0,0-1 0,1 1 0,-1 0 0,1-1 0,-1 1 0,0 0 0,1 0 0,-1-1 0,0 1 0,1 0 0,-1 0 0,0 0 0,0 0 0,1 0 0,-1 0 0,0 0 0,1 0 0,-1 0 0,0 0 0,1 0 0,-1 1 0,0-1 0,0 0 0,1 0 0,-1 1 0,1-1 0,-1 0 0,0 1 0,1-1 0,-1 1 0,1-1 0,-1 1 0,1-1 0,-1 1 0,1-1 0,-1 1 0,1-1 0,0 1 0,-1 1 0,-3 4 0,1 0 0,-1 0 0,2 1 0,-1-1 0,-1 8 0,-6 24 0,2 0 0,2 1 0,2 0 0,1 0 0,3 52 0,3-34 0,3 0 0,2-1 0,17 60 0,-19-93 0,1-1 0,1 0 0,1-1 0,1 0 0,21 34 0,-24-45 0,0 0 0,1-1 0,0 0 0,1 0 0,0-1 0,0 0 0,1 0 0,0-1 0,0-1 0,0 1 0,1-2 0,15 7 0,-12-8 0,0 0 0,0 0 0,0-2 0,1 1 0,-1-2 0,1 0 0,-1-1 0,1 0 0,21-4 0,-14 0 0,-1 0 0,0-2 0,0-1 0,0 0 0,30-17 0,39-28 0</inkml:trace>
  <inkml:trace contextRef="#ctx0" brushRef="#br0" timeOffset="3060.92">3956 825 8192,'16'8'15047,"-6"10"-10593,0 29-7317,-7-31 4247,-1-3-1384,2 5 0,0 0 0,1 0 0,0-1 0,13 26 0,-17-40 0,0 0 0,1 0 0,-1-1 0,1 1 0,0 0 0,0-1 0,0 1 0,0-1 0,0 0 0,1 0 0,-1 0 0,1 0 0,-1 0 0,1 0 0,0 0 0,0-1 0,-1 0 0,1 1 0,0-1 0,0 0 0,0-1 0,1 1 0,-1 0 0,0-1 0,0 0 0,0 0 0,0 0 0,1 0 0,-1 0 0,0 0 0,0-1 0,0 0 0,4 0 0,1-3 0,1 1 0,0-2 0,-1 1 0,0-1 0,0 0 0,0 0 0,-1-1 0,1 0 0,11-15 0,4-5 0,26-41 0,-15 18 0,-33 47 3,0 0 1,0 1 0,1-1-1,-1 1 1,0-1 0,1 1 0,-1 0-1,1-1 1,-1 1 0,1 0-1,0 0 1,-1 0 0,1 0-1,3-1 1,-5 2-5,1 0-1,-1 0 1,1 0-1,0 1 1,-1-1-1,1 0 1,-1 0-1,1 0 1,-1 1 0,1-1-1,-1 0 1,1 1-1,-1-1 1,1 0-1,-1 1 1,1-1-1,-1 0 1,0 1-1,1-1 1,-1 1-1,0-1 1,1 1 0,-1-1-1,0 1 1,0-1-1,1 1 1,-1-1-1,0 1 1,0 0-1,0 0 1,3 10-263,-2-1 0,0 1 0,0 0 1,-1 11-1,1 1-1224,0-13 894,1 0 0,0-1 0,1 1 0,0 0 1,0-1-1,1 0 0,0 0 0,1 0 0,0 0 0,0-1 0,1 0 0,0 0 0,0 0 1,1-1-1,0 0 0,1 0 0,-1 0 0,1-1 0,11 6 0,-9-6 174,0-1 1,0 0-1,0-1 0,0 0 1,1-1-1,0 0 0,16 3 1,-17-5 420,0 0 0,0-1 0,0 0 0,0-1 0,0 0 0,0 0 0,0-1 1,17-5-1,-18 2-4,1 1 1,-1-2-1,0 1 1,0-1-1,-1 0 0,1-1 1,-1 0-1,-1 0 1,1-1-1,-1 0 1,-1 0-1,0-1 1,0 1-1,0-1 0,-1-1 1,6-14-1,-5 10 52,-1 0 0,0 0 0,-1 0 0,-1-1 0,0 0 0,-1 1 0,0-1 0,-1 0 0,-1 0 0,-3-29 0,3 42 8,0 0 1,-1 0 0,1 0-1,0 1 1,-1-1-1,1 0 1,-1 1 0,1-1-1,-1 0 1,0 1-1,0-1 1,0 0 0,0 1-1,0 0 1,0-1-1,0 1 1,0-1 0,-1 1-1,1 0 1,0 0-1,-1 0 1,1 0-1,-1 0 1,1 0 0,-4-1-1,4 2-110,-1 0-1,1 1 1,-1-1-1,0 0 1,1 1-1,-1 0 1,1-1-1,-1 1 1,1 0-1,-1-1 1,1 1 0,-1 0-1,1 0 1,0 0-1,0 0 1,-1 1-1,1-1 1,0 0-1,0 0 1,0 1-1,0-1 1,1 0-1,-1 1 1,0-1-1,0 1 1,1 0-1,-1 2 1,-4 7 600,1 1 0,0 0 0,-4 21 0,6-20 602,1 1 0,0-1 1,1 0-1,0 1 0,1-1 0,4 21 1,-4-27-613,1 0 1,0 0-1,0 0 1,0 0-1,1-1 0,1 1 1,-1-1-1,1 0 1,0 0-1,0 0 1,0-1-1,11 11 1,-11-13-513,1 1 1,0-1-1,-1 0 1,1 0 0,1-1-1,-1 0 1,0 0-1,0 0 1,1 0-1,-1-1 1,8 1 0,-8-1-78,0-1 0,0 0 0,0 0 1,1-1-1,-1 0 0,0 0 1,0 0-1,0 0 0,0-1 1,0 0-1,0 0 0,0 0 0,-1 0 1,1-1-1,-1 0 0,0 0 1,0 0-1,0 0 0,0-1 1,0 0-1,-1 0 0,1 0 0,-1 0 1,0 0-1,4-9 0,1-2 174,0 1-1,-2-1 0,1-1 1,-2 1-1,0-1 0,5-33 0,-7 24-342,0-1 0,-2 1 0,-1-1 0,-4-38-1,3 57 163,0-1-1,0 1 0,-1-1 0,0 1 0,0 0 1,0 0-1,-1 0 0,0 0 0,-1 0 1,0 1-1,0 0 0,0-1 0,0 1 1,-1 1-1,0-1 0,-1 1 0,1 0 1,-1 0-1,-12-8 0,15 11 108,1 1 0,-1-1 0,1 1 0,-1 0 0,1 0 1,-1 0-1,0 0 0,0 1 0,0-1 0,1 1 0,-1-1 0,0 1 0,0 0 0,0 0 0,0 1 0,0-1 1,1 1-1,-1-1 0,0 1 0,0 0 0,0 0 0,1 0 0,-1 0 0,-3 3 0,2-1-244,1 0-1,0 0 0,0 0 1,1 1-1,-1 0 1,1-1-1,0 1 0,-1 0 1,2 0-1,-1 0 0,0 0 1,1 1-1,0-1 1,0 0-1,-1 7 0,1-3-32,0 0 0,0 0-1,1 0 1,0 0 0,0 0-1,0 0 1,1 0-1,1 0 1,-1 0 0,1 0-1,1-1 1,-1 1 0,1 0-1,5 6 1,-5-8 115,2 0 0,-1 0-1,1-1 1,0 0 0,0 0 0,0 0 0,1-1-1,-1 1 1,1-1 0,0-1 0,1 1 0,-1-1 0,1 0-1,-1-1 1,1 1 0,10 1 0,-4-1-168,0-1-1,1 0 1,-1 0 0,1-2 0,0 0 0,-1 0 0,1-2 0,-1 1-1,1-2 1,-1 0 0,0 0 0,0-1 0,22-10 0,-24 9 35,0-1 0,-1-1 0,1 1 0,-1-2 0,-1 1 0,1-1 1,-1-1-1,-1 1 0,1-2 0,-2 1 0,1-1 0,-1 0 0,-1-1 1,0 1-1,7-18 0,-5 3 247,-1 1 0,-1-1 0,-1 0 0,-1 0 0,-1-1 0,-2-40 0,-2 27 0,-2 0 0,-2 1 0,-15-60 0,18 91 0,-12-39 0,13 45 0,1-1 0,-1 0 0,0 1 0,1-1 0,-1 1 0,0-1 0,0 1 0,0-1 0,0 1 0,-1 0 0,1-1 0,0 1 0,0 0 0,-1 0 0,1 0 0,-1 0 0,1 0 0,-1 0 0,1 0 0,-3 0 0,3 1 0,0 0 0,0 0 0,0 1 0,0-1 0,0 0 0,0 1 0,0-1 0,0 0 0,0 1 0,1-1 0,-1 1 0,0 0 0,0-1 0,1 1 0,-1 0 0,0-1 0,1 1 0,-1 0 0,0 0 0,1 0 0,-1-1 0,1 1 0,-1 0 0,1 0 0,0 0 0,-1 0 0,1 0 0,0 0 0,0 1 0,-9 36 0,9-34 0,-7 50 0,3 0 0,2 0 0,5 59 0,0-73 0,2 0 0,2 0 0,2 0 0,25 70 0,-31-101 0,1-1 0,0 0 0,0 0 0,1 0 0,0 0 0,1-1 0,0 0 0,0 0 0,0-1 0,1 0 0,10 8 0,-13-11 0,-1-1 0,1 0 0,0 0 0,0 0 0,0 0 0,0-1 0,0 0 0,0 0 0,1 0 0,-1 0 0,0 0 0,1-1 0,-1 0 0,0 0 0,1 0 0,-1-1 0,0 1 0,1-1 0,-1 0 0,0 0 0,0-1 0,0 1 0,0-1 0,0 0 0,4-2 0,21-16 0</inkml:trace>
  <inkml:trace contextRef="#ctx0" brushRef="#br0" timeOffset="3215.6">5416 550 8192,'-1'-3'0,"9"-9"2971,16-10-2971,26-15 5848,29-19-5848,34-18-3356,38-15 3356,28-6-5463,6 5 5463,-29 19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9:55.18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682 0 24575,'-25'13'0,"2"0"0,-1 1 0,2 2 0,0 0 0,1 1 0,1 2 0,0 0 0,2 0 0,0 2 0,1 1 0,2 0 0,0 0 0,1 2 0,1 0 0,1 0 0,2 1 0,0 1 0,-11 46 0,-48 214 0,61-244 0,2 0 0,2 0 0,2 1 0,2 0 0,5 50 0,45 213 0,-22-159 0,13 54 0,9 56 0,38 177 0,-19-115 0,14 177 0,-63-202 0,-25-1 0,4-270 0,-1 29 0,-2 0 0,-3-1 0,-19 75 0,20-103 0,-1-1 0,-1-1 0,-1 1 0,0-2 0,-2 1 0,-1-1 0,0-1 0,-1 0 0,-1-1 0,-21 22 0,30-36 0,0 1 0,-1-1 0,1 0 0,-1 0 0,0 0 0,0-1 0,0 0 0,-1 0 0,1-1 0,-1 0 0,1 0 0,-1 0 0,0-1 0,0 0 0,0 0 0,1-1 0,-13 0 0,17 0 0,1-1 0,-1 1 0,1-1 0,-1 1 0,1-1 0,-1 0 0,1 0 0,-1 0 0,1 0 0,0 0 0,-1 0 0,1 0 0,0 0 0,0 0 0,0 0 0,0-1 0,0 1 0,0 0 0,0-1 0,0-2 0,-1 0 0,1 0 0,-1 0 0,1-1 0,0 1 0,1-1 0,-1 1 0,1-8 0,1 0 0,0 0 0,0 0 0,1 0 0,8-23 0,-9 32 0,0-1 0,1 1 0,-1-1 0,1 1 0,0 0 0,0-1 0,0 1 0,0 0 0,1 0 0,-1 1 0,1-1 0,0 0 0,0 1 0,0 0 0,0 0 0,0-1 0,0 2 0,1-1 0,-1 0 0,0 1 0,1 0 0,0-1 0,-1 1 0,1 1 0,0-1 0,-1 0 0,7 1 0,-6 0 0,1 1 0,0-1 0,-1 1 0,1 0 0,0 0 0,-1 1 0,0-1 0,1 1 0,-1 0 0,0 1 0,0-1 0,0 0 0,0 1 0,0 0 0,-1 0 0,1 0 0,-1 1 0,0-1 0,0 1 0,0 0 0,4 6 0,10 22 0,-2 0 0,-1 2 0,-2-1 0,-1 2 0,-1-1 0,-2 1 0,6 65 0,-7 18 0,-9 123 0,-1-85 0,4 1 0,2-40 0,-21 205 0,3-251 0,-3 0 0,-48 121 0,6-20 0,11-35 0,-77 150 0,34-84 0,-37 129 0,112-276 0,2 2 0,2 0 0,3 0 0,-2 62 0,9-79 0,3 1 0,2-1 0,1 0 0,11 52 0,-11-79 0,0-1 0,1 1 0,1 0 0,0-1 0,1 0 0,1-1 0,-1 1 0,2-1 0,0 0 0,0-1 0,1 0 0,1 0 0,0-1 0,0 0 0,1-1 0,13 9 0,-3-6 0,0-2 0,0-1 0,1 0 0,0-2 0,0 0 0,1-2 0,0 0 0,37 2 0,11-3 0,109-8 0,-25-8-682,190-41-1,-212 23-6143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2:41.9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2:31.9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26 749 8192,'-1'20'10614,"0"-1"-5103,-2 4-2459,-1 11-3176,-1 13-2301,2-16 3819,1 11-1394,-5 190 0,8-187 0,2 1 0,2-1 0,11 45 0,-13-81 0,-1 1 0,2 0 0,-1-1 0,1 0 0,0 0 0,1 0 0,0 0 0,12 13 0,-14-18 0,0-1 0,0 0 0,0 1 0,1-2 0,0 1 0,-1 0 0,1-1 0,0 1 0,0-1 0,0-1 0,1 1 0,-1 0 0,0-1 0,1 0 0,-1 0 0,1 0 0,-1 0 0,1-1 0,-1 0 0,1 0 0,5-1 0,0-1-36,0 0 0,0-1 1,-1 0-1,1-1 0,-1 0 0,0 0 1,0-1-1,0 0 0,-1-1 1,1 0-1,-1 0 0,-1-1 1,1 0-1,9-12 0,0-1-646,-2-1 0,0 0 0,-1-2 0,18-35 0,-22 33-987,-1 1-1,0-1 1,-2 0-1,-1-1 1,-1 0 0,3-43-1,-7 40 1073,-1 1-1,-1 0 0,-7-36 1,7 59 597,0-1 0,0 1 0,0 0 0,-1 0 0,0 0 0,0 1 0,-4-8 0,6 12 0,0-1 0,-1 1 0,1 0 0,0 0 0,0 0 0,0-1 0,0 1 0,0 0 0,-1 0 0,1 0 0,0 0 0,0-1 0,0 1 0,-1 0 0,1 0 0,0 0 0,0 0 0,-1 0 0,1 0 0,0 0 0,0-1 0,-1 1 0,1 0 0,0 0 0,0 0 0,-1 0 0,1 0 0,0 0 0,0 0 0,-1 0 0,1 0 0,0 1 0,0-1 0,-1 0 0,1 0 0,0 0 0,0 0 0,0 0 0,-1 0 0,1 0 0,0 1 0,0-1 0,0 0 0,-1 0 0,1 0 0,0 1 0,-8 26 0,1 44 49,5 104-1,3-116 414,-1-39 53,1 0-1,1 0 0,1 0 1,7 28-1,-8-41-171,1 0-1,-1-1 0,1 1 0,1-1 0,-1 0 1,1 1-1,0-2 0,8 10 0,-9-12 225,0 0 0,0-1 0,0 1 0,0-1 0,1 0 0,-1 0 0,1 0 0,-1 0 0,9 2 0,-11-3-674,1-1-1,0 0 0,-1 1 0,1-1 0,0 0 1,-1 0-1,1 0 0,0 0 0,0 0 1,-1-1-1,1 1 0,0 0 0,-1-1 0,1 0 1,0 1-1,-1-1 0,1 0 0,-1 0 1,2-1-1,1 0 233,-1-1-1,0 0 1,0 0 0,0 0 0,-1 0 0,1 0 0,3-7 0,1-5 603,0 1 0,-1-1 1,5-17-1,-11 32-728,29-116 4551,1-60-5052,-23 133 835,-6 32-334,0 5 0,-1 0 0,1 0 0,0 0 0,1-1 0,0 1 0,0 0 0,0 1 0,0-1 0,6-9 0,-7 15 0,-1 0 0,0 0 0,1 0 0,-1-1 0,0 1 0,1 0 0,-1 0 0,0 0 0,1 0 0,-1 0 0,0 0 0,1 0 0,-1 0 0,0 0 0,1 1 0,-1-1 0,1 0 0,-1 0 0,0 0 0,0 0 0,1 0 0,-1 1 0,0-1 0,1 0 0,-1 0 0,0 0 0,0 1 0,1-1 0,-1 0 0,0 0 0,0 1 0,1-1 0,-1 0 0,0 1 0,0-1 0,0 0 0,0 1 0,1-1 0,-1 0 0,0 1 0,0-1 0,0 0 0,0 1 0,0-1 0,0 0 0,0 1 0,0-1 0,0 1 0,5 21 0,-1 8 0,-1-4 0,2 0 0,0 0 0,2 0 0,15 40 0,-19-60 0,-1-1 0,2 1 0,-1-1 0,1 1 0,-1-1 0,1 0 0,1-1 0,-1 1 0,1-1 0,8 6 0,-9-7 0,0-1 0,1 0 0,-1 0 0,1 0 0,-1-1 0,1 1 0,0-1 0,0 0 0,-1-1 0,1 1 0,0-1 0,0 0 0,0 0 0,0-1 0,7-1 0,-1 0-149,0-1 1,0 0-1,-1-1 0,1-1 1,-1 1-1,0-2 1,-1 1-1,1-1 1,14-13-1,-7 4-222,-1 0-1,-1-1 1,26-35 0,-11 5 371</inkml:trace>
  <inkml:trace contextRef="#ctx0" brushRef="#br0" timeOffset="532.91">1190 813 8192,'0'4'18022,"0"15"-18022,0 16 0,0 8 0,0 8 0,7 3 0,9-8 0,7-5 0,5-9 0,10-10 0,12-16 0,12-23 0,14-20 0,0-14 0,-11 1 0</inkml:trace>
  <inkml:trace contextRef="#ctx0" brushRef="#br0" timeOffset="1513.11">1910 834 8192,'-1'-20'8985,"-1"3"-3455,-9-12-1771,8 26-3774,1 0 0,-1 0 0,1 0 1,-1 1-1,0-1 0,0 1 0,0 0 0,0 0 0,-1 0 1,1 0-1,-1 0 0,1 1 0,-1 0 0,1-1 0,-1 1 0,-4 0 1,3 0 14,0 0 0,0 0 0,0 1 0,0-1 0,0 1 0,0 0 0,0 1 0,0-1 0,0 1 0,1 0 0,-1 0 0,0 1 0,0-1 0,-7 5 0,5-2 0,0 0 0,1 0 0,0 1 0,0 0 0,0 0 0,1 1 0,0 0 0,-9 11 0,4-1 0,0 1 0,1 0 0,1 1 0,0 0 0,2 0 0,-9 36 0,13-42 0,0 1 0,1-1 0,0 1 0,1 0 0,0 0 0,1 0 0,0-1 0,7 24 0,-8-32 0,1 0 0,0-1 0,1 1 0,-1 0 0,1-1 0,-1 1 0,1-1 0,0 0 0,0 0 0,1 1 0,-1-1 0,1-1 0,-1 1 0,1 0 0,0-1 0,0 1 0,0-1 0,1 0 0,-1 0 0,0 0 0,1 0 0,-1-1 0,1 1 0,0-1 0,-1 0 0,1 0 0,0 0 0,0-1 0,0 1 0,0-1 0,-1 0 0,1 0 0,5-1 0,-2 0 0,0-1 0,0 0 0,-1 0 0,1-1 0,0 0 0,-1 0 0,0 0 0,1-1 0,-2 0 0,1 0 0,0-1 0,-1 0 0,0 0 0,8-9 0,0-2 0,0-1 0,-1 0 0,17-35 0,-13 16-524,-1 0 1,-1-1 0,-3 0-1,-1-1 1,9-66 0,-13 42-1962,-2 1 0,-9-118 0,2 141-519,-13-54 0,12 76 3200,0 1 1,-1 0 0,-1 0 0,0 0 0,-1 1 0,-10-14-1,17 26-195,-1 0-1,-1 1 0,1-1 0,0 0 0,0 1 0,0 0 1,-1-1-1,1 1 0,-1 0 0,1 0 0,-1-1 1,0 1-1,1 0 0,-1 1 0,0-1 0,-3-1 0,4 2-62,0 0 0,0 0 0,0 0-1,0 0 1,0 0 0,-1 1-1,1-1 1,0 0 0,0 1-1,0-1 1,0 1 0,0-1 0,0 1-1,1-1 1,-1 1 0,0-1-1,0 1 1,0 0 0,0 0-1,1-1 1,-2 3 0,-2 3 1,0 0 1,1 0-1,0 1 0,0 0 1,0-1-1,1 1 1,-3 12-1,-3 23 1250,-5 84 0,12-83-1588,2 0 0,1-1-1,3 1 1,1-1 0,2 0 0,2-1-1,24 63 1,-25-83 384,0-1-1,2 0 1,0-1-1,1-1 1,1 0-1,1 0 1,0-1-1,30 26 0,-36-36 17,-1-1-1,1 0 1,0-1-1,0 0 1,0 0-1,1-1 1,0 0-1,0 0 1,0-1-1,0 0 1,0 0-1,1-1 1,-1-1-1,1 0 1,0 0-1,-1-1 1,1 0-1,0 0 1,-1-1-1,1-1 1,-1 1-1,14-5 1,-14 2-8,0 0 0,-1 0 0,1-1 0,-1 0 0,0-1 1,0 1-1,-1-2 0,1 1 0,-2-1 0,1 0 0,-1 0 0,0-1 0,0 0 1,-1 0-1,0 0 0,0-1 0,-1 1 0,4-12 0,-3 7 605,-2 0 1,1 0-1,-1-1 0,-1 1 1,1-18-1,-3 19 1368,0 0-1,-1 0 1,0 0-1,-1 0 1,-5-22 0,6 32-1772,1 0 0,-1 0 0,0 0 1,1 0-1,-1 0 0,0 0 0,0 0 1,0 1-1,-1-1 0,1 0 0,0 0 1,-1 1-1,-2-3 0,4 4-192,-1 0 0,1-1 0,0 1 0,0 0 0,-1 0 0,1 0 0,0 0 1,-1 0-1,1 0 0,0 0 0,0 0 0,-1 0 0,1 0 0,0 0 0,0 0 0,-1 0 0,1 1 0,0-1 0,-1 0 0,1 0 0,0 0 0,0 0 0,0 0 0,-1 1 0,1-1 0,0 0 0,0 0 0,-1 0 1,1 0-1,0 1 0,0-1 0,0 0 0,0 1 0,-7 18-22,6-11 20,0 0 0,1 0 0,0 0 0,0 0 0,1 0 0,0 0 0,0 0 0,1 0 0,4 15 0,-4-18 0,0-1 0,1 1 0,-1-1 0,1 1 0,0-1 0,0 0 0,0 0 0,0 0 0,1-1 0,-1 1 0,1-1 0,0 0 0,0 0 0,1 0 0,-1 0 0,0-1 0,6 3 0,-8-4 0,0 0 0,1-1 0,-1 1 0,1 0 0,-1-1 0,1 0 0,-1 1 0,1-1 0,-1 0 0,1 0 0,-1-1 0,1 1 0,-1 0 0,1-1 0,-1 1 0,1-1 0,-1 0 0,4-2 0,-2 1 0,0-1 0,0 1 0,-1-1 0,1 0 0,-1-1 0,0 1 0,0 0 0,0-1 0,4-5 0,1-6 0,0-1 0,0 1 0,-2-1 0,7-23 0,-8 21-154,-1 1 0,-1-1 1,-1 0-1,0 0 0,-1 0 1,-1 0-1,-1 0 0,0 0 1,-8-32-1,7 38 215,-2 0 0,1 1 0,-1-1 0,-1 1 0,0 0 0,-1 0 0,0 1 1,0 0-1,-1 0 0,-1 0 0,0 1 0,0 0 0,0 1 0,-1-1 0,-15-9 0,22 16-232,-1 0 0,0 1-1,1-1 1,-1 0-1,0 1 1,0 0 0,0 0-1,0 0 1,0 0 0,0 0-1,-1 1 1,1-1-1,0 1 1,0 0 0,0 0-1,-1 0 1,1 0 0,0 1-1,0-1 1,0 1 0,0 0-1,-1 0 1,1 0-1,1 0 1,-1 1 0,0-1-1,0 1 1,0-1 0,1 1-1,-1 0 1,1 0-1,-1 0 1,1 1 0,0-1-1,0 1 1,-3 4 0,-2 3-901,0 1 1,1 1 0,0-1 0,0 1-1,2 0 1,0 0 0,-5 24 0,6-26 870,2 0-1,0 0 1,0 0 0,0 1-1,2-1 1,-1 0 0,1 0 0,1 0-1,-1 0 1,2 0 0,4 14 0,-4-18 194,-1-1 0,1 1 0,1-1 0,-1 1 0,1-1 0,0 0 1,0 0-1,0-1 0,1 1 0,0-1 0,-1 0 0,2 0 1,-1-1-1,0 1 0,1-1 0,-1 0 0,1-1 0,0 1 1,10 2-1,-5-3 7,0 0 0,1 0 0,-1-1 0,0-1 0,0 0 0,0-1 0,1 0 0,-1 0 0,0-1 0,16-5 0,-2-1 0,1-2 0,-1 0 0,26-16 0,7-7 0</inkml:trace>
  <inkml:trace contextRef="#ctx0" brushRef="#br0" timeOffset="1936.71">3391 516 8192,'-10'14'18022,"18"-10"-18022,18-2 0,22-7 0,25-4 0,14-11 0,4-1-3356,-11-6 3356,-11 3-5996,-18 5 5996</inkml:trace>
  <inkml:trace contextRef="#ctx0" brushRef="#br0" timeOffset="2214.9">3836 30 8192,'15'-26'18022,"13"22"-18022,19 11 0,18 11 0,6 13 0,2 17 0,-5 13 0,-7 19 0,-13 13-2971,-15 9 2971,-13 9-5849,-25 0 5849,-18-8-7349,-9-15 7349,1-22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19.4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524 772 8192,'18'-26'13389,"-15"18"-11716,3-22 2412,-7-1-3702,-1 23-863,0-1 1,0 1-1,-1 0 0,0-1 1,-4-7-1,-14-17 1850,14 24-1370,0 0 0,-1 0 0,-1 1 0,0 0 0,0 0 0,0 1 0,-1 0 0,0 1 0,-15-8 0,20 12 0,-1 0 0,1 0 0,0 0 0,-1 1 0,0 0 0,1 0 0,-1 1 0,0-1 0,1 1 0,-1 0 0,0 1 0,1-1 0,-1 1 0,0 0 0,1 1 0,-1-1 0,1 1 0,0 0 0,-1 1 0,1-1 0,-8 7 0,-5 4-60,2 1 1,0 1-1,1 0 0,0 1 1,1 1-1,1 0 1,0 1-1,2 0 1,0 1-1,-12 30 1,1 2-1038,3 2 0,-23 105 0,31-106-1053,3 1 0,-2 75-1,9-104 1328,2 0-1,0 1 1,2-1 0,1-1-1,1 1 1,1 0-1,14 36 1,-16-51 788,1 0 0,0 0 1,0 0-1,1-1 1,0 0-1,0 0 0,1-1 1,0 0-1,0 0 1,1 0-1,-1-1 0,2 0 1,-1-1-1,1 0 1,-1 0-1,1 0 0,1-1 1,-1-1-1,1 0 1,-1 0-1,1-1 1,0 0-1,0 0 0,0-1 1,0-1-1,0 0 1,0 0-1,0-1 0,13-2 1,2-3 34,-1 0 1,0-1-1,0-2 1,0 0-1,-1-2 0,-1-1 1,0 0-1,0-2 1,-2 0-1,30-26 1,-33 24 697,-1 0 0,0-1-1,22-32 1,-9 1-138</inkml:trace>
  <inkml:trace contextRef="#ctx0" brushRef="#br0" timeOffset="386.64">799 751 8192,'-4'-10'1971,"1"-1"0,0 0 0,1-1 1,0 1-1,1 0 0,0 0 0,1-18 1,4 2 78,-4 27-2047,0 0 0,0 0 1,0 0-1,0-1 0,0 1 0,0 0 1,0 0-1,0 0 0,0-1 0,0 1 1,0 0-1,0 0 0,0 0 0,0-1 1,0 1-1,0 0 0,1 0 0,-1 0 1,0 0-1,0-1 0,0 1 0,0 0 1,0 0-1,0 0 0,1 0 0,-1 0 1,0-1-1,0 1 0,0 0 0,0 0 1,1 0-1,-1 0 0,0 0 0,0 0 1,0 0-1,0 0 0,1 0 0,-1 0 1,0 0-1,0 0 0,0 0 0,1 0 1,-1 0-1,0 0 0,0 0 0,0 0 1,1 0-1,-1 0 0,0 0 0,0 0 1,0 0-1,1 0 0,-1 0 0,0 0 1,0 0-1,0 1 0,0-1 0,1 0 1,-1 0-1,0 0 0,0 0 0,0 0 1,0 1-1,0-1 0,0 0 0,0 0 1,1 1-1,6 16-37,-6-14 49,15 47-313,-1 1 0,-4 0 0,9 84 0,-3 163-5758,-16-281 5459,-1 75-1214,0-45-2269,8 78 1,-1-99 3876,-7-26 203,0 1-1,0-1 1,0 1 0,0-1 0,1 1 0,-1-1 0,0 0 0,0 1 0,0-1 0,1 1 0,-1-1 0,0 0-1,1 1 1,-1-1 0,0 0 0,1 0 0,-1 1 0,0-1 0,1 0 0,-1 0 0,1 1 0,-1-1 0,1 0-1,-1 0 1,0 0 0,1 0 0,-1 0 0,1 1 0,-1-1 0,1 0 0,-1 0 0,1 0 0,-1 0 0,1-1-1,-1 1 1,1 0 0,-1 0 0,0 0 0,1 0 0,-1 0 0,1 0 0,0-1 0,11-11 0</inkml:trace>
  <inkml:trace contextRef="#ctx0" brushRef="#br0" timeOffset="1124.58">672 1196 8192,'5'16'10565,"-4"-13"-9860,17 7 4194,26-1-3409,-40-9-1335,12 1-142,0-1 1,0-1-1,1-1 0,-1 0 0,-1-1 1,1-1-1,0 0 0,-1-1 1,0-1-1,0 0 0,0-1 0,-1 0 1,0-2-1,0 1 0,-1-2 1,14-12-1,-5 3-15,-1-2 0,0 0 0,-2-1 0,-1-1 0,0 0 0,-2-2 0,0 0 0,12-29 0,-26 49 2,0 1 0,0-1 0,0 0 0,-1 0 0,0 0 0,0 0 0,0 0 0,-1 0 0,0 0 0,0-8 0,0 12 0,0 0 0,0 0 0,-1 0 0,1 0 0,0 0 0,-1 0 0,1 0 0,-1 0 0,1 1 0,-1-1 0,1 0 0,-1 0 0,1 0 0,-1 1 0,0-1 0,0 0 0,1 1 0,-1-1 0,0 0 0,0 1 0,-1-1 0,0 0 0,0 1 0,0 0 0,0-1 0,0 1 0,0 0 0,0 0 0,1 0 0,-1 0 0,0 1 0,0-1 0,0 1 0,0-1 0,0 1 0,-3 1 0,-2 1 0,0 1 0,1 0 0,0 0 0,0 0 0,0 1 0,0 0 0,1 0 0,-1 0 0,1 1 0,1 0 0,-1 0 0,1 0 0,0 0 0,0 1 0,1 0 0,0-1 0,0 1 0,1 1 0,0-1 0,0 0 0,0 0 0,1 1 0,0-1 0,1 1 0,0 8 0,0-13 0,0-1 0,1 1 0,-1-1 0,1 1 0,0-1 0,0 1 0,0-1 0,0 0 0,0 0 0,0 1 0,1-1 0,-1 0 0,1 0 0,-1 0 0,1 0 0,0-1 0,0 1 0,0 0 0,3 1 0,-1-1 0,0 0 0,0 0 0,0 0 0,0-1 0,1 0 0,-1 0 0,0 0 0,1 0 0,-1-1 0,6 0 0,3 0 0,1-1 0,-1-1 0,0 0 0,0-1 0,0 0 0,15-6 0,36-19 0,-60 31 0,-6 7 0,-8 14 0,8-20 0,-2 5-221,1 0-1,-1 1 1,1-1 0,1 1 0,0-1 0,0 1 0,0 11 0,2-17-103,1 1 0,-1-1 0,1 1 0,-1-1 0,2 1 0,-1-1 0,0 0 0,1 0 0,-1 1 0,1-1 0,1 0 0,-1-1-1,0 1 1,1 0 0,0-1 0,0 1 0,0-1 0,4 4 0,3 2-400,1-1-1,0 0 1,0 0-1,1-1 1,-1-1 0,1 0-1,1-1 1,-1 0-1,1-1 1,0 0-1,23 3 1,-19-5 511,0-1-1,0-1 1,0 0 0,0-2 0,0 0 0,0 0 0,-1-2 0,26-8-1,-19 4 251,-1-1 0,-1-1 0,0-1 0,0-1-1,-1-1 1,-1-1 0,0 0 0,-1-2 0,0 0 0,-2-1-1,0 0 1,0-2 0,17-27 0,-21 24-37,-1 0 0,-1 0 0,-1-1 0,-1 0 0,-1-1 0,-1 1 0,-1-1 0,-1-1 0,-1 1 0,-1 0 0,-2-1 0,0 1 0,-1-1 0,-2 1 0,-8-36 0,8 49 0,-1 0 0,0 1 0,0 0 0,-2 0 0,1 0 0,-1 0 0,0 1 0,-1 0 0,-10-10 0,16 17 0,-1 0 0,0 0 0,0 0 0,0 0 0,0 1 0,0-1 0,0 0 0,0 1 0,-1 0 0,1 0 0,0 0 0,-1 0 0,1 0 0,-1 0 0,1 0 0,-1 1 0,0 0 0,1-1 0,-1 1 0,1 0 0,-1 0 0,0 0 0,1 1 0,-1-1 0,1 0 0,-1 1 0,0 0 0,1 0 0,-1 0 0,1 0 0,0 0 0,-1 0 0,1 0 0,0 1 0,0 0 0,0-1 0,0 1 0,0 0 0,0 0 0,0 0 0,1 0 0,-1 0 0,1 0 0,-2 3 0,-5 7 0,1 1 0,0-1 0,1 1 0,1 0 0,0 1 0,1-1 0,0 1 0,1 0 0,-2 27 0,2-6 0,2-1 0,6 69 0,-2-80 0,0-1 0,2 1 0,0-1 0,2 0 0,0-1 0,1 0 0,1 0 0,16 26 0,-19-37 0,1 0 0,0-1 0,0-1 0,1 1 0,0-1 0,1 0 0,-1-1 0,2 0 0,-1 0 0,1-1 0,0 0 0,0-1 0,0 0 0,1-1 0,0 0 0,-1 0 0,2-1 0,14 2 0,-9-3 0,1-1 0,0-1 0,-1 0 0,25-4 0,4-4 0</inkml:trace>
  <inkml:trace contextRef="#ctx0" brushRef="#br0" timeOffset="1608.16">2704 920 8192,'7'0'11991,"17"-7"-11991,25-13 6031,31-3-6031,19-9-3356,7 1 3356,0-1-5484,-7 5 5484,-17 7 3356,-23 7-3356</inkml:trace>
  <inkml:trace contextRef="#ctx0" brushRef="#br0" timeOffset="1841.91">3127 561 8192,'3'-13'18022,"6"19"-18022,7 16 0,2 16 0,12 22 0,1 19 0,2 18 0,-4-1 0,0-5 0,9-11 0,6-20 0,2-26 0,-6-20 0</inkml:trace>
  <inkml:trace contextRef="#ctx0" brushRef="#br0" timeOffset="2495.98">3932 222 8192,'20'-4'18278,"-4"-2"-17060,9-5-3862,-6 3 3814,136-47-1170,316-69 0,-459 121 0,-1 0 0,0 1 0,0 0 0,0 0 0,0 1 0,0 1 0,15 0 0,-25 0 0,0 0 0,0 0 0,0 1 0,0-1 0,0 0 0,0 0 0,0 1 0,0-1 0,0 0 0,0 1 0,0-1 0,0 1 0,0 0 0,-1-1 0,1 1 0,0-1 0,0 1 0,-1 0 0,1 0 0,0-1 0,-1 1 0,1 0 0,-1 0 0,1 0 0,-1 0 0,0 0 0,1 0 0,-1-1 0,0 1 0,1 0 0,-1 0 0,0 0 0,0 0 0,0 0 0,0 0 0,0 0 0,0 0 0,0 0 0,0 0 0,0 0 0,-1 2 0,-1 3 0,-1 1 0,1-1 0,-1 1 0,-7 10 0,7-13 0,-146 227-2687,41-69-2471,-102 149-3515,110-185 7478,65-87 939,16-19 238,1 2 1,-27 41-1,44-62 18,0 1 0,0 0 0,0-1 0,1 1 0,-1 0 0,0 0 0,1 0 0,-1 0 0,1 0 0,-1 3 0,2-5 0,-1 1 0,0-1 0,0 1 0,0-1 0,0 1 0,0-1 0,0 1 0,1-1 0,-1 1 0,0-1 0,0 1 0,1-1 0,-1 1 0,0-1 0,1 0 0,-1 1 0,0-1 0,1 0 0,-1 1 0,1-1 0,-1 0 0,0 1 0,1-1 0,-1 0 0,1 0 0,0 1 0,4-1 0,-1 1 0,0-1 0,1 0 0,-1 0 0,1 0 0,-1-1 0,1 0 0,6-2 0,190-58 0,-124 35 0,902-276-256,-767 245 5211,-1 4 5364,-98 26-7315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25.1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1359 8192,'8'14'17806,"18"4"-18618,-16-12 1840,-6-3-1028,1 0 0,0 0 0,0-1 0,0 0 0,0 0 0,0 0 0,0 0 0,1-1 0,-1 0 0,0 0 0,1 0 0,-1 0 0,1-1 0,-1 0 0,1-1 0,-1 1 0,1-1 0,-1 0 0,1 0 0,-1 0 0,0-1 0,1 0 0,-1 0 0,0-1 0,0 1 0,-1-1 0,1 0 0,-1 0 0,5-4 0,4-4 0,-1 0 0,-1-1 0,0 0 0,-1-1 0,0 0 0,-1-1 0,0 0 0,11-25 0,-8 9 0,-1-1 0,-1 0 0,-2 0 0,-1-1 0,-2 0 0,0 0 0,-3 0 0,-2-63 0,0 91 0,-1-1 0,1 1 0,-1 0 0,0 0 0,0 1 0,0-1 0,-1 0 0,1 0 0,-1 0 0,0 1 0,0-1 0,0 1 0,0 0 0,-5-5 0,6 7 0,0 0 0,-1 0 0,1 0 0,-1 0 0,1 1 0,-1-1 0,1 0 0,-1 1 0,1-1 0,-1 1 0,0 0 0,1-1 0,-1 1 0,0 0 0,1 0 0,-1 0 0,0 0 0,1 1 0,-1-1 0,0 0 0,1 1 0,-1-1 0,0 1 0,1-1 0,-1 1 0,1 0 0,-1 0 0,1-1 0,0 1 0,-1 0 0,1 0 0,0 1 0,-1-1 0,1 0 0,-1 2 0,-5 4 0,2 1 0,-1-1 0,1 1 0,0 0 0,0 1 0,1-1 0,1 1 0,-1 0 0,1 0 0,1 0 0,-1 0 0,2 0 0,-1 0 0,1 1 0,1-1 0,0 1 0,0-1 0,2 13 0,-1-18 0,0-1 0,0 0 0,1 0 0,-1 0 0,1 0 0,-1 0 0,1 0 0,0 0 0,0-1 0,0 1 0,1-1 0,-1 1 0,1-1 0,-1 0 0,1 0 0,0 0 0,-1 0 0,1-1 0,0 1 0,0-1 0,1 1 0,-1-1 0,0 0 0,0 0 0,1-1 0,6 1 0,1 1 0,1-1 0,0 0 0,0-1 0,0-1 0,0 0 0,16-3 0,-3-3 0,-1-1 0,0-2 0,-1 0 0,1-1 0,-2-1 0,0-1 0,25-20 0,-41 29 0,0-1 0,1 0 0,-1 1 0,1 0 0,10-4 0,-16 8 0,-1-1 0,1 1 0,0 0 0,0 0 0,-1-1 0,1 1 0,0 0 0,0 0 0,0 0 0,0 0 0,-1 0 0,1 0 0,0 0 0,0 0 0,0 0 0,-1 0 0,1 0 0,0 1 0,0-1 0,0 0 0,-1 0 0,1 1 0,0-1 0,-1 1 0,1-1 0,0 1 0,-1-1 0,1 1 0,0-1 0,-1 1 0,1-1 0,-1 1 0,1 0 0,-1-1 0,1 1 0,-1 0 0,0 0 0,1-1 0,-1 1 0,0 0 0,0 0 0,1-1 0,-1 1 0,0 0 0,0 0 0,0 0 0,0-1 0,0 1 0,0 0 0,0 1 0,-2 56 0,0-46 0,2 0 0,-1 0 0,2 1 0,2 21 0,-2-31 0,0 1 0,0 0 0,0-1 0,1 1 0,-1-1 0,1 0 0,0 1 0,0-1 0,0 0 0,1 0 0,-1 0 0,1 0 0,-1-1 0,1 1 0,0-1 0,0 1 0,0-1 0,0 0 0,7 3 0,1-1-89,0 0 1,1-1 0,-1 0-1,0-1 1,1-1 0,-1 0-1,1 0 1,0-1 0,-1 0-1,1-1 1,-1 0 0,1-1 0,-1-1-1,0 0 1,1 0 0,-1-1-1,16-8 1,-8 3-813,-1 0 1,0-1-1,-1-1 1,0-1-1,0-1 1,-2 0-1,1-1 1,-2 0-1,16-20 1,-22 23-231,-1 0 0,-1-1 0,1 1 0,-2-1 0,8-23 0,-11 29 1085,0-1 1,0 1-1,-1-1 0,0 0 0,0 1 0,-1-1 1,0 0-1,0 1 0,-1-1 0,1 0 0,-1 1 0,-1-1 1,-2-7-1,4 12 96,0 1 1,-1-1-1,0 0 1,1 0 0,-1 1-1,0-1 1,0 1-1,0-1 1,0 1 0,0-1-1,-1 1 1,1-1-1,0 1 1,0 0-1,-1 0 1,1 0 0,-1 0-1,1 0 1,-1 0-1,0 0 1,1 0-1,-1 1 1,0-1 0,0 1-1,1-1 1,-1 1-1,0-1 1,0 1 0,0 0-1,1 0 1,-1 0-1,0 0 1,0 0-1,0 1 1,1-1 0,-1 0-1,0 1 1,0 0-1,1-1 1,-1 1-1,0 0 1,1 0 0,-3 1-1,-3 2-199,0 1-1,0 0 1,0 1-1,1-1 1,0 1-1,0 0 1,1 1-1,-6 8 1,4-5 401,0 1 0,1 0 1,0 0-1,1 0 0,0 1 0,1 0 0,1 0 1,-3 13-1,5-20-318,0 0 0,1-1 1,0 1-1,0 0 0,0-1 0,0 1 0,1 0 1,0-1-1,0 1 0,0-1 0,0 1 0,1-1 1,0 0-1,0 1 0,0-1 0,0 0 0,1 0 1,-1-1-1,1 1 0,0 0 0,0-1 0,1 0 1,-1 1-1,1-1 0,3 2 0,5 2 226,-1-1-1,1 0 0,0-1 1,1 0-1,-1-1 1,1-1-1,0 0 0,0-1 1,0 0-1,0-1 0,27 0 1,-5-3-858,0-2-1,0-1 1,47-13 0,-28 3 647,0-3 0,-1-2 1,-1-2-1,-2-2 0,0-3 0,-1-2 0,-2-2 0,-1-2 0,-2-2 1,49-49-1,-77 66 51,0 0 0,17-24 0,-29 36 0,-1 0 0,1 0 0,-1 0 0,0 0 0,-1 0 0,0 0 0,0-1 0,0 1 0,-1-1 0,1 0 0,-2 1 0,1-10 0,-1 14 3,0-1 1,-1 1-1,1-1 0,-1 1 1,0 0-1,0 0 0,0-1 1,0 1-1,0 0 1,0 0-1,0 0 0,-1 0 1,1 0-1,-1 0 0,0 0 1,1 1-1,-1-1 1,0 0-1,0 1 0,0 0 1,0-1-1,0 1 0,-1 0 1,1 0-1,0 0 1,0 0-1,-1 1 0,1-1 1,-4 0-1,-6-1 472,-1 0 0,0 0 0,1 2 0,-17 0 0,19 1 96,0 0 0,0 0 1,0 1-1,0 0 1,0 1-1,1 0 0,-1 1 1,1 0-1,0 0 1,0 1-1,0 0 0,0 0 1,1 1-1,0 1 1,0-1-1,1 1 1,0 0-1,-8 10 0,10-10-569,0 1 0,0-1 0,1 1 0,0 0 0,0 0 0,1 0 0,0 1-1,0-1 1,1 1 0,0 0 0,0 0 0,1-1 0,0 1 0,1 0 0,0 0 0,1 0 0,-1 0-1,2 0 1,-1 0 0,6 16 0,-4-18 301,-1-1 1,1 0-1,0 0 0,1 0 0,-1 0 1,1 0-1,9 9 0,-8-10-453,0 0-1,0-1 0,0 0 1,1 0-1,0 0 0,0 0 1,8 3-1,-8-5-344,1 1 0,0-1 0,0 0 0,-1-1-1,1 0 1,0 0 0,0 0 0,0-1 0,0 0 0,0 0 0,0-1 0,0 0-1,0 0 1,0-1 0,0 1 0,0-2 0,-1 1 0,1-1 0,-1 0 0,0 0-1,1-1 1,-2 1 0,1-1 0,0-1 0,-1 1 0,5-6 0,4-6 384,-2 0 0,0-1 0,-1 0 0,-1-1 0,0-1-1,-1 1 1,-1-1 0,-1-1 0,-1 1 0,-1-1 0,5-36 0,-3-3 147,-2 0 0,-6-108 0,0 161-20,1-14 38,0 1-1,-2-1 0,0 0 0,-2 0 0,0 1 0,-1 0 1,-1 0-1,-8-18 0,13 35 70,1 1 1,-1-1-1,0 1 0,0 0 1,0-1-1,0 1 0,0 0 1,0 0-1,0 0 1,0-1-1,0 1 0,-1 1 1,1-1-1,-3-2 0,3 3-116,0 0 0,1 0 0,-1 0 0,0 0-1,0 0 1,1 0 0,-1 0 0,0 0 0,0 0-1,1 0 1,-1 0 0,0 0 0,1 1 0,-1-1-1,0 0 1,1 1 0,-1-1 0,0 0 0,1 1-1,-1-1 1,0 1 0,0 0 0,-2 2-230,0 1 0,0 0 0,1 0 0,-1 0 0,1 0 0,0 0 0,0 0 0,-2 9 0,-7 27 173,3 1 1,1 0-1,2 1 1,2-1-1,2 1 1,1 0-1,2 0 1,3-1-1,10 49 1,-12-73 49,1-1 0,1 0 0,1 0 0,0 0 0,1-1 0,0 0 0,2 0 0,12 17 0,-17-26 0,1-1 0,0 0 0,0 0 0,0 0 0,1 0 0,-1-1 0,1 0 0,0 0 0,1-1 0,-1 1 0,1-1 0,-1-1 0,1 1 0,0-1 0,0 0 0,0-1 0,0 0 0,0 0 0,0 0 0,0-1 0,14-1 0,-7-2 0,0 0 0,0 0 0,0-1 0,-1-1 0,0 0 0,0-1 0,0-1 0,0 0 0,-1-1 0,0 0 0,-1 0 0,0-1 0,17-19 0,-11 11 0,-1-1 0,-1-1 0,-1-1 0,0 0 0,-1-1 0,-2 0 0,12-28 0,-18 31 1812,-12 38 646,2-1-415,0 0 1,2 0-1,0 0 0,0 38 1,3-51-1903,0-1 1,0 0-1,1 0 1,0 0-1,0 0 0,0 0 1,0 0-1,1 0 0,0 0 1,0-1-1,0 1 1,1-1-1,0 1 0,-1-1 1,1 0-1,1 0 1,-1 0-1,1 0 0,-1-1 1,1 1-1,0-1 0,1 0 1,-1 0-1,6 2 1,-1-1-142,0 0 0,0-1 0,0 0 0,1 0 0,-1-1 0,1-1 0,0 0 0,0 0 0,-1-1 0,1 0 0,0 0 0,0-1 0,-1-1 0,1 1 0,-1-2 0,16-4 0,-13 2 0,0-1 0,-1 0 0,0-1 0,0 0 0,0 0 0,-1-1 0,0 0 0,-1-1 0,0 0 0,0-1 0,13-18 0,-15 17 0,0 0 0,-1 0 0,0-1 0,-1 0 0,0 1 0,-1-2 0,0 1 0,-1 0 0,-1-1 0,0 0 0,1-23 0,-3 27 0,-1-1 0,0 1 0,0-1 0,-1 1 0,0-1 0,-1 1 0,0 0 0,0 0 0,-1 0 0,0 0 0,-1 1 0,0 0 0,0 0 0,-1 0 0,0 0 0,-12-12 0,7 11 0,0 0 0,0 0 0,-1 1 0,0 0 0,0 1 0,-1 0 0,0 1 0,0 0 0,-1 2 0,-14-5 0,23 8 0,1 0 0,-1 0 0,0 0 0,0 1 0,0-1 0,0 1 0,0 0 0,0 1 0,0-1 0,0 1 0,0 0 0,0 0 0,0 1 0,0-1 0,1 1 0,-1 0 0,0 1 0,1-1 0,0 1 0,0 0 0,0 0 0,0 0 0,0 0 0,0 1 0,1-1 0,0 1 0,-1 0 0,1 0 0,1 0 0,-5 9 0,4-9-15,1 1 1,0-1 0,0 0-1,1 1 1,-1 0 0,1-1-1,0 1 1,1 0 0,-1-1-1,1 1 1,-1 0 0,2 0-1,-1 0 1,0 0-1,1-1 1,0 1 0,0 0-1,0-1 1,1 1 0,0-1-1,-1 1 1,2-1 0,-1 0-1,0 1 1,1-1 0,0 0-1,0-1 1,0 1 0,0 0-1,1-1 1,-1 0 0,1 0-1,0 0 1,0 0 0,0-1-1,0 1 1,0-1 0,10 3-1,2 2-517,1-1 0,1-1 0,24 4 0,-13-5 804,1-1 0,0-2-1,33-2 1,89-17 621,-60-1-3367,25-10 1915</inkml:trace>
  <inkml:trace contextRef="#ctx0" brushRef="#br0" timeOffset="325.55">3769 555 8192,'7'-7'11332,"17"-10"-4642,18-9-6690,24-7 0,16-5 0,7-4 0,0 6 0,-8-2 0,-18 1 0,-20 8 0</inkml:trace>
  <inkml:trace contextRef="#ctx0" brushRef="#br0" timeOffset="528.98">4171 26 8192,'10'-16'9352,"15"7"-1893,18 12-7459,15 13 1211,9 15-1211,0 9 0,-11 12 0,-15 15 0,-15 15 0,-11 11 0,-27 11 0,-25 6-2971,-15-16 2971,3-23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39.1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216 832 8192,'-4'1'577,"1"-1"0,-1 1 0,1 0 0,-1 0 0,1 0 1,0 0-1,-1 0 0,1 1 0,0 0 0,0-1 0,-5 5 0,-29 27 2544,36-32-3002,-10 10 855,0 1 1,1 1-1,1-1 0,0 1 0,1 1 1,-8 16-1,6-7-608,1 0-1,1 1 1,-6 34 0,6-12-473,2 1 1,2 0-1,5 79 1,1-94-377,1 0 0,2 0 0,1 0 0,2-1 0,1 1 1,1-2-1,16 32 0,-18-47-76,0-1 0,0 1 0,2-2 0,-1 0 1,2 0-1,22 21 0,-25-27 361,1 0 1,0 0-1,0-1 0,0-1 1,1 0-1,0 0 1,0-1-1,0 0 1,1-1-1,-1 0 0,15 2 1,-14-3-342,0-1 1,0-1-1,0 0 0,-1 0 1,1-1-1,0 0 0,0-1 1,0-1-1,-1 1 0,1-2 1,12-5-1,-10 3 334,0-2 0,0 1-1,-1-2 1,0 1 0,0-2-1,-1 0 1,15-17 0,-5 1 238,-2 0 0,-1-1-1,-1-1 1,-2 0 0,0-2 0,20-60 0,-24 54-33,-1 0 0,-2 0 0,-2-1 0,-1 0 0,-2 0 0,-1 0 0,-2 0 0,-2-1 0,-1 1 0,-2 0 0,-2 1 0,-1-1 0,-22-59 0,6 41 0,23 52 0,-1-1 0,0 1 0,0 0 0,0 0 0,0 0 0,-1 1 0,1-1 0,-1 1 0,1-1 0,-1 1 0,0 0 0,0 0 0,-4-2 0,6 4 25,0-1 1,0 1 0,0 0 0,0 0-1,0 0 1,0 0 0,0 0-1,0 0 1,0 0 0,0 0 0,0 0-1,0 1 1,0-1 0,0 0-1,0 1 1,0-1 0,1 1-1,-1-1 1,0 1 0,0-1 0,0 1-1,0-1 1,1 1 0,-1 0-1,0 0 1,0-1 0,1 1 0,-1 0-1,1 0 1,-1 0 0,1 0-1,-1 0 1,1-1 0,-1 1 0,1 0-1,-1 2 1,-10 42 1499,8-13-1827,2 0 1,0 0 0,2 0 0,2 0-1,6 32 1,5 7-33,27 79 0,-27-106 334,35 74 0,-41-103 0,0-1 0,1 1 0,0-1 0,1-1 0,1 0 0,0 0 0,1-1 0,15 13 0,-25-23 0,1 0 0,0 0 0,0 0 0,-1 0 0,1 0 0,0 0 0,1-1 0,-1 0 0,0 1 0,0-1 0,1 0 0,-1 0 0,0-1 0,1 1 0,-1-1 0,1 0 0,-1 0 0,0 0 0,1 0 0,-1-1 0,1 1 0,-1-1 0,0 0 0,1 0 0,-1 0 0,0 0 0,0 0 0,0-1 0,0 0 0,0 0 0,0 1 0,0-2 0,4-3 0,19-24 0</inkml:trace>
  <inkml:trace contextRef="#ctx0" brushRef="#br0" timeOffset="653.88">512 1425 8192,'11'17'8004,"-11"-17"-7656,1 0 0,0 1 0,1-1 0,26 5 2703,22-9 1402,0-9-3508,48-27-3321,-84 34 2132,83-41 105,45-39-7757,-75 35 5116,-6-4 3626,-41 34 4385,29-39-1,-35 45-2880,-6 22-2396,5 8 47,-7-11-113,-1-1 0,1 0 0,0 0 0,1 0 0,-1 0 0,0-1 0,1 0 0,-1-1 1,1 1-1,0-1 0,8 0 0,6 0-238,1-2 1,25-4-1,20-1-7817,-65 6 7930,0 0 0,0 0 1,0 0-1,0 0 0,0 0 0,0 0 0,-1 0 0,1 1 0,0-1 0,0 1 0,0-1 0,0 1 0,0 0 0,-1 0 1,1 0-1,0 0 0,0 0 0,-1 0 0,1 0 0,-1 1 0,1-1 0,-1 0 0,0 1 0,0-1 0,1 1 0,-1 0 1,0-1-1,0 1 0,0 0 0,-1 0 0,2 2 0,-1 4 213,0 0 1,0 0-1,-1 1 0,0-1 1,-1 0-1,-2 12 0,-1 30 899,4-48-918,0 1 1,1 0 0,-1-1 0,0 1 0,1-1-1,-1 1 1,1-1 0,0 1 0,0-1 0,0 1-1,0-1 1,0 0 0,3 4 0,-1-3 139,0-1-1,0 1 1,1-1 0,-1 0 0,0 0 0,1 0-1,-1 0 1,1-1 0,0 1 0,0-1 0,-1 0 0,1 0-1,0 0 1,0-1 0,8 1 0,-1-1 152,-1 0 1,1-1-1,0 0 1,18-5-1,-17 2-418,0 0 0,0-1 0,-1-1 0,1 0 0,-1-1 0,-1 0 0,1 0 0,-1-1 0,0 0 0,-1-1 0,0 0 0,-1-1 0,1 0 0,-2 0 0,0 0 0,0-1 0,7-15 0,-6 9 190,0-1-1,-1 0 1,-1 0-1,0 0 1,-1-1-1,-2 0 1,0 0-1,0 0 0,-2 0 1,-1 0-1,-1-20 1,-1 28-21,1 1 0,-2-1 0,1 0 0,-7-15 0,7 22 0,1 1 0,0 0 0,-1 0 0,0 0 0,1 0 0,-1 0 0,0 0 0,-1 1 0,1-1 0,0 1 0,-1-1 0,0 1 0,1 0 0,-1 0 0,0 0 0,0 0 0,-6-2 0,8 4 0,-1-1 0,0 1 0,0 0 0,0 0 0,1 0 0,-1 0 0,0 0 0,0 1 0,1-1 0,-1 1 0,0-1 0,1 1 0,-1-1 0,0 1 0,1 0 0,-1 0 0,1 0 0,-1 0 0,1 0 0,-1 0 0,1 0 0,0 0 0,0 1 0,0-1 0,-1 0 0,1 1 0,0-1 0,1 1 0,-1-1 0,0 1 0,-1 3 0,-2 5 0,-1 0 0,2 1 0,-5 19 0,3-7 0,1 1 0,2 0 0,0 0 0,2 1 0,0-1 0,5 30 0,-3-42 0,1 1 0,0-1 0,1 0 0,0 1 0,12 21 0,-13-27 0,1-1 0,0 0 0,1 0 0,-1-1 0,1 1 0,1-1 0,-1 0 0,0 0 0,1 0 0,0-1 0,8 4 0,1-1 0,1-1 0,0-1 0,0-1 0,0 0 0,0-1 0,1-1 0,-1 0 0,1-1 0,-1-1 0,1-1 0,30-5 0,33-7 0</inkml:trace>
  <inkml:trace contextRef="#ctx0" brushRef="#br0" timeOffset="903.81">2608 1001 8192,'19'6'16796,"14"-19"-16796,18-14 1226,14-9-1226,11-6 0,7 4 0,0-2 0,-7-2-3356,-17 7 3356</inkml:trace>
  <inkml:trace contextRef="#ctx0" brushRef="#br0" timeOffset="1088.82">2904 578 8192,'0'7'11332,"3"14"-11332,2 17 6690,10 16-6690,3 14 0,9 14 0,0 6-3356,7-4 3356,-4-12 0,2-20-5484,1-17 8840,-4-16-3356</inkml:trace>
  <inkml:trace contextRef="#ctx0" brushRef="#br0" timeOffset="1647.61">3878 218 8192,'32'6'14789,"0"8"-10192,28 27-6969,-25-16 3380,-5-5-1008,-10-6 0,1 0 0,1-1 0,1-1 0,-1-1 0,33 10 0,-52-20 0,0 0 0,1 0 0,-1-1 0,0 1 0,0-1 0,0 0 0,1 0 0,-1 0 0,0 0 0,0-1 0,0 1 0,0-1 0,1 0 0,-1 0 0,0 0 0,0 0 0,-1-1 0,1 1 0,0-1 0,3-2 0,-2 1 0,-1-1 0,1 0 0,-1 0 0,0 0 0,0 0 0,0-1 0,-1 1 0,1-1 0,-1 0 0,0 0 0,2-7 0,1-12 0,0-1 0,-2 0 0,-1 0 0,-1-28 0,0 43 0,-5-162 0,4 167-1025,-1 8 222,0 17-300,-1 34-236,1 91-2980,-2 244-4384,7-134 7973,-3-250 730,-1 14 0,1 0 0,0 1 0,2-1 0,7 28 0,0-27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48.3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281 309 8192,'1'-66'7246,"1"-20"133,-3 66-6314,0 0 0,-5-23 0,5 40-1061,1-1 0,-1 1 0,0-1 0,0 1 0,0 0 0,0-1 0,-1 1 0,1 0 0,-1 0 0,0 0 0,0 0 0,0 0 0,0 0 0,-1 1 0,1-1 0,-1 1 0,1 0 0,-1-1 0,0 1 1,0 0-1,0 1 0,0-1 0,0 0 0,0 1 0,-1 0 0,1 0 0,0 0 0,-1 0 0,1 0 0,-1 1 0,1-1 0,-1 1 0,1 0 0,-1 0 0,1 0 0,-1 1 0,1-1 0,-1 1 0,1 0 0,0 0 0,-1 0 0,1 0 0,0 1 0,0-1 0,0 1 0,0 0 0,0 0 1,0 0-1,-4 4 0,-4 4-185,1 1 0,1 0 0,0 1 1,0 0-1,1 0 0,1 1 0,0 0 0,0 0 1,1 1-1,1 0 0,1 0 0,-4 16 1,-3 22-2822,-8 106 1,10 221-5678,26-217 7891,-14-142 760,1 1 1,0-1-1,2 0 1,0 0-1,2-1 1,0 1-1,19 30 1,-23-44 28,0 0-1,0 0 1,1-1 0,0 1-1,0-1 1,0 0 0,1-1 0,0 1-1,0-1 1,0 0 0,0-1-1,0 1 1,1-1 0,0 0-1,-1-1 1,1 0 0,0 0-1,0 0 1,0-1 0,1 0-1,-1-1 1,0 1 0,0-1-1,0-1 1,12-1 0,-11 0-1,0 0 0,-1-1 0,0 1 0,1-2 0,-1 1 0,0-1 0,-1 0 0,1 0 0,-1-1 0,1 0 0,-2 0 0,1 0 0,0-1 0,-1 0 0,0 0 0,0 0 0,-1-1 0,7-12 0,0-3 0,-1 0 0,0-1 0,-2 0 0,10-41 0,1-75 2476,-19 149-2557,0-1 0,1 1 0,0-1 0,1 1 0,0-1 0,0 0 1,1 1-1,0-1 0,1-1 0,0 1 0,0 0 0,1-1 1,0 0-1,0 0 0,1 0 0,0-1 0,12 11 0,-12-12 272,1-1 0,-1 0 0,1 0 0,0 0 0,1-1 0,-1 0 0,1-1 0,-1 0 0,11 3 0,-11-4 365,-1-1 1,1 0-1,0 0 1,0-1 0,-1 0-1,1 0 1,0 0-1,0-1 1,0 0-1,-1 0 1,1-1-1,7-2 1,-7 1 57,0 0 0,0-1-1,0 0 1,-1 0 0,0 0 0,0 0 0,0-1-1,0 0 1,-1-1 0,7-7 0,-5 3-364,1 0 0,-2-1 0,1 0 0,-1 0 0,6-20 0,-3 5-329,-2-2 0,-1 1 0,-1-1 0,3-48 0,-8 72 79,0 4 0,0 13 0,0 0 0,1 0 0,3 21 0,-1-28 0,-1 0 0,1-1 0,1 1 0,-1-1 0,1 0 0,0 0 0,0 0 0,0 0 0,1 0 0,0-1 0,0 0 0,0 0 0,0-1 0,0 1 0,1-1 0,0 0 0,0 0 0,0-1 0,0 0 0,0 0 0,0 0 0,0-1 0,0 0 0,1 0 0,6 0 0,-2-1 0,-1 1 0,1-2 0,0 1 0,-1-1 0,1-1 0,-1 0 0,1-1 0,-1 0 0,0 0 0,0-1 0,0 0 0,0-1 0,-1 0 0,12-9 0,-10 5-232,0 0 0,-1-1 1,0 0-1,-1-1 0,-1 0 1,12-19-1,-12 15-763,0-2 1,0 1-1,-2-1 0,0-1 1,-1 1-1,-1-1 0,4-31 1,-6 21-501,-1 0 0,-1-1 0,-2 1-1,-6-38 1,2 33 1112,-16-46 1,19 70 292,-12-31-24,15 38 114,-1 0 0,0 0 0,0 0 0,-1 0 1,1 0-1,0 0 0,-1 0 0,1 0 0,-1 1 0,1-1 0,-1 1 0,0-1 1,-3-1-1,5 3 0,-1 0 0,0 0 0,1 0 0,-1 0 0,0 0 0,1 0 0,-1 0 0,0 0 0,1 0 0,-1 1 0,1-1 0,-1 0 0,0 0 0,1 1 0,-1-1 0,1 0 0,-1 1 0,1-1 0,-1 0 0,1 1 0,-1-1 0,1 1 0,-1-1 0,1 1 0,-1-1 0,1 1 0,0 0 0,-1-1 0,1 1 0,0-1 0,0 1 0,-1 0 0,1-1 0,0 1 0,0 0 0,0-1 0,0 1 0,0 1 0,-6 29 0,5-3 0,1 1 0,2-1 0,0 0 0,2 1 0,13 47 0,-10-52 0,1-1 0,0 0 0,2 0 0,1-1 0,0-1 0,2 0 0,15 21 0,-22-35 0,1 0 0,-1 0 0,1-1 0,1 0 0,-1 0 0,1-1 0,0 0 0,0 0 0,10 4 0,-14-8 0,-1 1 0,0-1 0,1 0 0,-1 0 0,1 0 0,-1 0 0,1-1 0,0 1 0,-1-1 0,1 0 0,-1 0 0,1-1 0,0 1 0,-1-1 0,1 1 0,-1-1 0,1 0 0,-1 0 0,0-1 0,1 1 0,-1-1 0,0 0 0,0 1 0,0-1 0,5-5 0,8-14 0</inkml:trace>
  <inkml:trace contextRef="#ctx0" brushRef="#br0" timeOffset="124.66">1255 627 8192,'15'-3'8839,"10"-13"-8839,9-14 7957,21-20-7957,19-12-3356,11-3 3356,2 3-5484,-10 11 5484,-19 15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50.07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323 3391 8192,'-2'-36'13917,"-7"5"-9650,7 28-4274,1 1 0,-1 0 0,1-1 0,-1 1 0,0 0-1,0 0 1,0 0 0,0 1 0,0-1 0,0 0 0,-1 1 0,1-1 0,-1 1 0,1 0 0,-1 0 0,1 0 0,-1 0 0,0 0 0,1 1 0,-1-1 0,0 1 0,-5-1 0,3 1 9,1 0 0,-1 0 0,0 1 0,0 0 0,0 0 0,0 0 0,1 0 0,-1 1 0,1-1 0,-1 1 0,1 0 1,-1 1-1,1-1 0,0 1 0,0 0 0,0 0 0,1 0 0,-1 0 0,1 1 0,-5 5 0,-3 6-122,1-1-1,0 2 0,1-1 1,-10 23-1,0 7-1182,1 0 0,3 1 0,2 0 0,1 1 0,-4 52 0,11-61 69,3 0 1,1 0-1,2 0 0,1 0 1,2 0-1,18 72 1,-18-95 1121,1 0 1,1-1 0,0 0 0,0 0 0,2 0-1,-1-1 1,2 0 0,15 19 0,-17-25 110,0 0 1,0 0-1,1-1 1,0 0-1,0 0 1,1-1-1,0 0 0,-1 0 1,2-1-1,-1-1 1,0 1-1,1-1 1,-1-1-1,11 2 1,-6-2 73,-1-1 1,1 0 0,-1-1 0,1-1-1,-1 0 1,1 0 0,-1-1 0,0-1-1,0-1 1,0 0 0,19-8 0,-16 4-319,-1-1 0,0 0 1,-1-1-1,0 0 0,0-2 1,-1 1-1,-1-2 0,13-14 1,-7 3 884,0 0 1,-2-2-1,-1 1 1,-1-2-1,15-39 1,-17 33 5605,16-69 0,-23 83-4408,-6 46-2994,-1 4 2982,3-20-1787,1 0-1,0 0 1,0 0-1,1-1 1,0 1-1,1-1 1,0 0-1,1 0 1,0 0-1,0 0 1,1-1-1,0 0 1,8 9-1,-10-14-39,-1 0-1,1 0 1,-1-1-1,1 1 1,0-1-1,1 0 1,-1 0-1,0 0 1,1-1 0,0 1-1,-1-1 1,1 0-1,0-1 1,0 1-1,0-1 1,0 0-1,1 0 1,-1 0 0,0-1-1,0 0 1,1 0-1,-1 0 1,0-1-1,0 1 1,0-1-1,0-1 1,0 1-1,0-1 1,7-3 0,-3 0-131,-1 0 1,1 0 0,-2-1-1,1-1 1,-1 1 0,0-1-1,0 0 1,0-1 0,-1 0 0,-1 0-1,1 0 1,-1 0 0,-1-1-1,1 0 1,-1 0 0,-1 0-1,0-1 1,0 1 0,1-11-1,-2 8-670,0 1-1,-1-1 0,0 0 1,0 1-1,-2-1 0,1 0 0,-2 0 1,1 1-1,-2-1 0,1 1 0,-2-1 1,1 1-1,-1 0 0,-1 0 1,-10-16-1,5 13 357,0 0-1,-2 1 1,1 0 0,-17-13-1,21 20 418,0 0 0,0 1 0,0 0 0,-1 1 0,0-1 0,1 2-1,-2-1 1,1 1 0,0 0 0,-11-2 0,16 5 29,0-1 0,0 1 0,0 0 0,0 0 0,0 0 0,0 0 0,0 1 0,0 0 0,1-1 0,-1 1 0,0 0 0,0 0 0,0 0 0,1 1 0,-1-1 0,1 1 0,-5 3 0,2-2 0,2 1 0,-1 0 0,0 1 0,1-1 0,-1 1 0,1-1 0,1 1 0,-1 0 0,-2 6 0,1 1 0,0 1 0,0 0 0,1 0 0,0 0 0,2 0 0,-1 1 0,1 16 0,1-24 0,1-1 0,-1 0 0,1 0 0,0 0 0,0 1 0,0-1 0,1 0 0,0 0 0,0 0 0,0-1 0,1 1 0,-1 0 0,1-1 0,0 0 0,0 0 0,1 0 0,-1 0 0,1 0 0,0 0 0,0-1 0,0 0 0,0 0 0,1 0 0,0 0 0,-1-1 0,1 0 0,0 0 0,0 0 0,0 0 0,0-1 0,10 2 0,-2-2 0,0 0 0,-1 0 0,1-2 0,-1 1 0,1-2 0,0 1 0,-1-2 0,0 0 0,0 0 0,0-1 0,0 0 0,16-10 0,-13 6 0,-1-2 0,0 0 0,-1 0 0,0-1 0,-1-1 0,0 0 0,-1-1 0,0 0 0,-1-1 0,-1 0 0,0 0 0,-1-1 0,0 0 0,-1-1 0,9-31 0,-9 22 0,-1 1 0,-2-1 0,0 0 0,-2-1 0,-1 1 0,0 0 0,-2-1 0,-1 1 0,-2 0 0,-5-25 0,-3 12 0,12 37 0,-1-1 0,0 1 0,1-1 0,-1 1 0,0-1 0,0 1 0,0-1 0,0 1 0,0 0 0,0 0 0,0-1 0,0 1 0,-1 0 0,1 0 0,0 0 0,-1 0 0,1 0 0,-3-1 0,3 2 0,0 1 0,0-1 0,0 0 0,0 0 0,1 0 0,-1 1 0,0-1 0,0 0 0,0 1 0,1-1 0,-1 0 0,0 1 0,0-1 0,1 1 0,-1 0 0,0-1 0,1 1 0,-1-1 0,1 1 0,-1 0 0,1 0 0,-1-1 0,1 1 0,-1 0 0,1 0 0,0-1 0,-1 1 0,1 0 0,0 0 0,0 1 0,-9 32 0,9-30 0,-7 42 0,3 1 0,2 0 0,4 62 0,26 145 0,-15-149 0,136 865 0,-136-906 0,-8-48 10,-2-14-35,0-26 599,-16-397-352,-3 140-1269,16 201 1180,13-117 0,-9 164-133,2 0 0,1 0 0,2 0 0,22-53 0,-27 76 0,0 1 0,1-1 0,0 0 0,1 1 0,0 0 0,1 1 0,0-1 0,0 1 0,1 1 0,-1-1 0,2 1 0,-1 1 0,1-1 0,0 1 0,0 1 0,1 0 0,0 0 0,14-4 0,-20 7 0,0 1 0,0 0 0,0 0 0,0 0 0,0 1 0,0-1 0,0 1 0,1 0 0,-1 1 0,0-1 0,0 0 0,0 1 0,0 0 0,0 0 0,0 0 0,0 1 0,-1-1 0,1 1 0,0 0 0,-1 0 0,1 0 0,-1 1 0,0-1 0,0 1 0,0-1 0,0 1 0,0 0 0,0 1 0,-1-1 0,1 0 0,-1 1 0,0-1 0,3 7 0,-2-1 0,0 0 0,-1 0 0,1 0 0,-2 1 0,1-1 0,-1 0 0,-1 1 0,0-1 0,0 1 0,-1-1 0,0 0 0,0 1 0,-6 16 0,0-6 0,-1 0 0,0-1 0,-2 0 0,0-1 0,-2 0 0,-16 20 0,19-26 0,0-2 0,-1 1 0,0-2 0,0 1 0,-1-1 0,-1-1 0,1 0 0,-1-1 0,-1 0 0,-16 7 0,25-12 147,0-1 0,0 0 0,0 0 1,-1 0-1,1-1 0,0 0 0,0 1 0,-1-1 0,1-1 1,0 1-1,0-1 0,0 1 0,-1-1 0,1 0 1,0-1-1,0 1 0,0-1 0,-3-2 0,-21-16 413</inkml:trace>
  <inkml:trace contextRef="#ctx0" brushRef="#br0" timeOffset="564.39">1657 3539 8192,'27'-16'5800,"-24"15"-5183,-1 1 0,0-1 0,0 0 0,1 1 0,-1-1 0,0 1 0,1 0 0,-1-1 0,0 1 0,1 0 0,-1 1 0,0-1 0,1 0 0,-1 1 0,4 0 0,-5 0-418,1 0 1,-1 0-1,1 0 1,-1 0-1,1 1 0,-1-1 1,0 0-1,1 0 0,-1 1 1,0-1-1,0 1 1,0-1-1,0 1 0,-1-1 1,1 1-1,1 2 0,0 7-505,1 0 0,-1 1 1,-1-1-1,0 0 0,-1 18 0,2 17 1102,-1-42-796,0-1 0,0 0 0,0 1 0,0-1 0,0 0 0,1 0 0,0 0 0,-1 0 0,1 0 0,0 0 0,1-1 0,-1 1 0,0-1 0,1 1 0,-1-1 0,1 0 0,0 0 0,0 0 0,0 0 0,0 0 0,0-1 0,0 0 0,0 1 0,0-1 0,1 0 0,-1-1 0,0 1 0,1 0 0,-1-1 0,1 0 0,3 0 0,0 0 0,1 0 0,0 0 0,0-1 0,0-1 0,0 1 0,-1-1 0,1-1 0,-1 1 0,1-1 0,-1 0 0,0-1 0,12-8 0,-7 3 0,-1-2 0,0 1 0,-1-2 0,0 1 0,-1-1 0,0-1 0,-1 1 0,0-2 0,7-18 0,-2 1 0,-1-1 0,-2 0 0,6-36 0,-16 80 5,0-1 1,0 0 0,1 1-1,4 16 1,14 72-355,-16-87 174,39 182-2809,39 205-3581,-37-39 53,-40-303 6219,-3 0 0,-3 0 0,-2 0 0,-15 72 0,13-104 293,0-1 0,-2 0 0,-1 0 0,-13 24 0,17-39 0,-1 1 0,0-1 0,-1 0 0,0-1 0,-1 1 0,0-1 0,0-1 0,-1 0 0,0 0 0,-18 12 0,23-18 0,1 0 0,-1 0 0,1 0 0,-1-1 0,1 0 0,-1 1 0,0-1 0,0 0 0,1 0 0,-1-1 0,0 1 0,0-1 0,0 0 0,0 0 0,0 0 0,0-1 0,0 1 0,1-1 0,-1 0 0,0 0 0,0-1 0,1 1 0,-1-1 0,1 1 0,-1-1 0,1 0 0,0 0 0,-1-1 0,1 1 0,0-1 0,1 1 0,-1-1 0,0 0 0,1 0 0,0 0 0,-3-5 0,-4-6 0,0-1 0,2 0 0,-1-1 0,2 0 0,0 0 0,1 0 0,-4-25 0,2-6 0,1 0 0,3-1 0,2 0 0,2 0 0,2 1 0,2-1 0,3 1 0,13-49 0,-6 41 0,3 0 0,2 1 0,2 2 0,3 0 0,1 1 0,48-66 0,-54 88 297,2 0 0,0 2 0,2 1 0,1 1 0,1 1 0,1 1 0,1 2 0,1 0 1,58-29-1,-14 21-297</inkml:trace>
  <inkml:trace contextRef="#ctx0" brushRef="#br0" timeOffset="1247.54">620 5635 8192,'0'6'18022,"3"27"-18022,2 23 0,6 28 0,3 39 0,8 28-2971,2 20 2971,-5 3-5849,3-11 5849,-3-25-7957,-4-29 7957,-5-37-1245,-5-37 1245,-2-26 0</inkml:trace>
  <inkml:trace contextRef="#ctx0" brushRef="#br0" timeOffset="1497.48">429 6228 8192,'-9'-14'1054,"2"0"0,0-1 0,0 1 1,1-2-1,1 1 0,-3-19 0,3 10-604,-2-40 1,6 39-962,2 0 0,2 0 1,0 0-1,1 0 0,1 1 1,2-1-1,0 1 0,2 0 1,0 1-1,2 0 0,0 1 1,2 0-1,24-33 0,-12 22 370,1 2 0,2 0-1,1 2 1,1 1 0,2 2-1,0 1 1,58-34 0,-59 42 141,0 1 0,57-21 0,-75 33 0,-1 1 0,1 0 0,0 0 0,0 1 0,0 1 0,0 0 0,0 0 0,0 2 0,0 0 0,18 3 0,-24-2 0,-1 0 0,1 1 0,-1-1 0,1 2 0,-1-1 0,0 1 0,0 0 0,0 0 0,-1 0 0,1 1 0,-1 0 0,0 0 0,-1 0 0,1 1 0,-1 0 0,0-1 0,0 1 0,-1 1 0,0-1 0,0 1 0,0-1 0,-1 1 0,3 12 0,0 5 0,-1 0 0,-1 0 0,-1 1 0,-1 0 0,-3 40 0,-5-4 0,-3 0 0,-2-1 0,-29 85 0,-79 173 0,81-223 0,-1 6 0</inkml:trace>
  <inkml:trace contextRef="#ctx0" brushRef="#br0" timeOffset="2322.25">1551 6566 8192,'5'-10'1022,"1"0"0,-1-1 1,-1 0-1,0 0 1,0 0-1,-1 0 0,-1 0 1,3-19-1,-2-12 2865,-2-41 0,-1 81-3862,-1-15 98,0 0 0,-1 1-1,0-1 1,-2 0 0,0 1 0,-1-1 0,0 1 0,-13-25-1,15 35-125,0 0 0,-1 0-1,1 0 1,-1 1 0,-1-1-1,1 1 1,-1 0 0,0 1-1,0-1 1,0 1 0,-1 0-1,1 0 1,-1 0-1,0 1 1,0 0 0,0 0-1,-1 0 1,1 1 0,-1 0-1,1 1 1,-1-1 0,0 1-1,1 0 1,-10 1 0,10 0 6,0 1 1,1 0-1,-1 0 1,0 0-1,1 1 1,-1 0-1,1 0 1,-1 0-1,1 1 1,0 0-1,0 0 1,0 0-1,1 0 1,-1 1-1,1 0 1,0 0-1,0 0 1,0 1-1,0-1 1,1 1-1,0 0 1,-5 9-1,-1 4-635,1 0 0,1 1 1,0 0-1,1 0 0,-3 27 0,3-16-765,2 0 0,1 0 0,1 0 0,4 48 1,-1-67 977,0 0 0,1 0 0,0-1 0,1 1 0,0-1 0,0 0 0,1 1 0,1-2 0,0 1 0,0 0 0,0-1 0,1 0 0,1-1 0,0 1 0,0-1 0,11 10 0,-15-16 400,0 1-1,0-1 1,1 1 0,-1-1-1,1 0 1,0 0 0,0-1-1,0 1 1,0-1 0,0 0-1,0 0 1,0 0 0,0-1-1,0 1 1,0-1 0,0 0-1,7-1 1,-5 0 47,-2 0 0,1-1 0,0 0-1,0 0 1,0 0 0,-1 0 0,1-1 0,-1 0 0,0 0 0,0 0 0,0 0 0,5-6 0,1-3 386,0 0 0,-1 0 0,-1-1 0,0 0 0,-1-1 0,0 1 0,-1-1 0,6-24 0,-5 13 3739,-2-1-1,4-36 0,-8 16-2532,-1 52-1620,0 0 0,0 0 0,1 0 0,0 0 0,0 0 0,1 0 0,-1 0 0,1 0 0,1-1 0,-1 1 0,1-1 0,0 0 0,0 1 0,7 7 0,-6-8 0,1 0 0,-1-1 0,1 0 0,0 0 0,1 0 0,-1 0 0,1-1 0,-1 0 0,1 0 0,0-1 0,0 1 0,0-1 0,0-1 0,1 1 0,7 0 0,-9-2 0,0 1 0,-1-2 0,1 1 0,0 0 0,0-1 0,0 0 0,0 0 0,-1-1 0,1 1 0,0-1 0,-1 0 0,0 0 0,1-1 0,-1 1 0,0-1 0,0 0 0,0 0 0,0 0 0,-1 0 0,6-7 0,3-6-216,0-1 0,-1 1 0,-1-2 0,0 0 0,8-23 0,27-97-362,4-8 1636,-36 126-401,-13 20-651,1 0 0,-1 0 0,0 0 0,1 0 0,-1 0 0,0 0 0,1 0 0,-1 0 0,0 0 0,0 0 0,1 0-1,-1 0 1,0 0 0,1 0 0,-1 0 0,0 1 0,0-1 0,1 0 0,-1 0 0,0 0 0,0 0 0,1 1 0,-1-1 0,0 0 0,0 0 0,0 0 0,1 1 0,-1-1 0,0 0 0,0 0 0,0 1 0,0-1 0,1 0 0,-1 0 0,0 1 0,0-1-1,0 1 1,10 45-126,-6-23 173,2-8-53,1 0 0,0-1 0,1-1 0,1 1 0,0-1 0,1 0 0,12 12 0,25 34 0,-45-56 1,-1 0 1,1 0-1,-1 0 1,0 0-1,0 0 1,0 0 0,0 0-1,0 0 1,-1 0-1,1 0 1,-1 1-1,0-1 1,0 0-1,0 0 1,0 0 0,-1 1-1,1-1 1,-1 0-1,0 0 1,0 0-1,0 0 1,0 0-1,-1 0 1,1 0 0,-1 0-1,0-1 1,0 1-1,-2 2 1,-4 5-89,0-1 1,-1 0 0,0-1-1,0 0 1,-1 0 0,-11 6-1,-9 4-2307,-50 24 0,70-37 986,-1 0 0,1-2-1,-1 1 1,0-1 0,0-1 0,-1 0-1,1 0 1,-23-1 0,5-7 1408</inkml:trace>
  <inkml:trace contextRef="#ctx0" brushRef="#br0" timeOffset="2601.27">2313 5825 8192,'0'-10'3356,"0"-16"-3356,0-9 5996,0 5 2674,0 17-8670,0 27 0,7 24 0,2 24 0,0 20 0,-2 9-2971,6 5 2971,0-7-5849,5-12 5849,0-26 8820,-4-22-8820</inkml:trace>
  <inkml:trace contextRef="#ctx0" brushRef="#br0" timeOffset="2915.79">2228 6185 8192,'-2'11'17353,"27"-10"-16684,2-7-669,0 0 0,0-2 0,-1-1 0,39-19 0,93-60 0,-125 67 0,-1-1 0,41-38 0,-64 52 0,0-1 0,0 0 0,-1-1 0,0 0 0,-1 0 0,0 0 0,-1-1 0,0 0 0,-1-1 0,0 1 0,6-21 0,-11 29-73,1-1 1,0 0 0,-1 0 0,0 0-1,0 1 1,0-1 0,0 0 0,-1 0-1,1 0 1,-1 1 0,0-1 0,0 0 0,-1 1-1,1-1 1,-1 1 0,1-1 0,-1 1-1,-3-4 1,3 5-113,1 1 0,0 0 0,-1-1 0,0 1 1,1 0-1,-1 0 0,0 0 0,0 0 0,1 0 0,-1 0 0,0 0 0,0 1 0,0-1 0,0 1 0,0 0 0,0-1 0,0 1 0,0 0 1,0 0-1,0 0 0,0 0 0,0 1 0,0-1 0,0 0 0,0 1 0,0 0 0,0-1 0,0 1 0,0 0 0,1 0 0,-1 0 1,0 0-1,0 0 0,-1 2 0,-5 3-631,1 0 1,0 0 0,1 1-1,-1 0 1,1 0 0,1 0-1,-1 1 1,-7 15 0,-9 25-704,8-1 3920,13-43-2167,0 1-1,0 0 1,0-1 0,1 1-1,-1 0 1,1 0-1,1-1 1,-1 1 0,1 0-1,0-1 1,0 1 0,0 0-1,0-1 1,1 1 0,0-1-1,0 1 1,0-1 0,0 0-1,1 0 1,0 0-1,-1 0 1,2-1 0,-1 1-1,0-1 1,5 4 0,-4-4-487,0-1 0,1 1 0,-1-1 1,1 0-1,-1 0 0,1 0 0,0-1 1,0 1-1,8 0 0,2-1-257,1-1 0,0 0 1,0-1-1,-1-1 0,1 0 0,-1-1 0,1-1 0,-1 0 0,21-10 0,5-4-145,-1-1 0,40-27 0,-7-5 451,-17 5 204</inkml:trace>
  <inkml:trace contextRef="#ctx0" brushRef="#br0" timeOffset="3929.9">2017 1634 8192,'-2'14'18022,"22"-10"-18022,26-2 0,34-11 0,30-4 0,12-12 0,9 0 0,-12 3 0,-18-1 0,-27 3 0</inkml:trace>
  <inkml:trace contextRef="#ctx0" brushRef="#br0" timeOffset="4132.82">2715 1275 8192,'3'-17'8819,"13"8"-8819,13 2 7350,18 9-7350,10 11 1853,0 15-1853,-3 13 0,-11 10 0,-12 15 0,-12 14 0,-16 15 0,-23 13 0,-15 2 0,-2-6 0,2-21 0,7-25 0</inkml:trace>
  <inkml:trace contextRef="#ctx0" brushRef="#br0" timeOffset="4945.87">4409 767 8192,'2'-24'8775,"3"0"-3679,-3 16-4306,0 0 0,-1 0-1,0 0 1,0-12 0,-2 13-776,1 0 1,-1 1 0,-1-1-1,0 1 1,0-1 0,0 1-1,0 0 1,-1-1 0,0 1-1,0 1 1,-1-1-1,0 0 1,0 1 0,-6-7-1,8 10-14,-1 0-1,0-1 1,1 1-1,-1 0 0,0 0 1,0 1-1,0-1 1,0 1-1,-1-1 0,1 1 1,0 0-1,-1 0 1,1 0-1,-1 1 0,1-1 1,0 1-1,-1 0 1,1 0-1,-1 0 0,1 0 1,-1 1-1,1-1 1,-1 1-1,1 0 1,0 0-1,-1 0 0,1 1 1,0-1-1,-4 3 1,0 1-11,0 0 0,0 1 0,0-1 0,1 1 0,0 1 1,0-1-1,1 1 0,0 0 0,0 1 0,0-1 0,1 1 0,0 0 1,0 0-1,1 0 0,-3 12 0,-3 12-863,2 0-1,-6 60 1,9-44-315,2 0 1,3 1-1,1-1 0,12 63 0,-7-74-518,1-1 0,3 0 1,20 49-1,-25-72 1516,1 1 1,0-1 0,1-1-1,0 1 1,1-1 0,0-1 0,1 0-1,0 0 1,1-1 0,0 0-1,23 14 1,-26-19 182,0 0 0,0-1 0,0-1 0,1 1 0,0-1-1,-1-1 1,1 0 0,0 0 0,0-1 0,1 0 0,-1 0 0,0-1 0,0 0 0,0-1-1,0 0 1,0 0 0,0-1 0,0 0 0,0-1 0,9-3 0,-5 0 8,0 0 0,-1 0 0,0-2 0,0 1 0,-1-1 0,0-1 0,0 0 0,-1-1 0,0 0 0,16-22 0,-14 14 0,-1 0 0,-1-1 0,0 0 0,-1-1 0,-2 0 0,9-31 0,-5-5 0,-2 0 0,-3 0 0,-2 0 0,-5-87 0,0 105 0,-11-64 0,8 88 0,0 15 0,0 22 0,2 18-41,2 0 0,2-1 0,1 1 0,2 0 0,21 74 0,-16-81 422,1-2-1,1 0 0,2 0 0,1-1 1,2-1-1,1-1 0,31 40 0,-20-37 180</inkml:trace>
  <inkml:trace contextRef="#ctx0" brushRef="#br0" timeOffset="5618.72">4599 1380 8192,'20'-5'15774,"-6"-1"-13389,5-6-3034,1 1 1161,242-138-2702,-95 37-3465,-144 95 3908,-1-1 1,26-27 0,-42 39 1382,-1 0 0,0 0 0,0-1 0,0 1 0,-1-1 0,0 0 1,0 0-1,-1-1 0,0 1 0,0-1 0,-1 0 0,2-11 0,-3 17 357,-1 0-1,0 0 1,0 0-1,1 0 1,-1 0-1,-1 0 1,1 0-1,0 0 1,0 0-1,-1 0 1,1 0-1,-1 0 0,0 0 1,1 0-1,-1 1 1,0-1-1,0 0 1,0 0-1,0 1 1,-1-1-1,1 1 1,0-1-1,-1 1 1,1-1-1,-1 1 1,1 0-1,-1 0 1,0 0-1,-1-1 1,0 1 7,0 0 1,1 1 0,-1-1 0,0 1 0,0 0 0,0-1 0,1 1 0,-1 1 0,0-1 0,0 0 0,1 1-1,-1-1 1,0 1 0,0 0 0,1 0 0,-1 0 0,1 0 0,-1 0 0,-4 4 0,-1 1-6,-1 0 1,1 1-1,1 0 1,-1 0-1,1 1 1,1 0 0,-1 0-1,1 0 1,1 1-1,-7 14 1,10-20 23,0 1 1,1-1 0,-1 1-1,1 0 1,0-1-1,0 1 1,1 0 0,-1 0-1,1-1 1,-1 1 0,1 0-1,1 0 1,-1 0-1,0-1 1,1 1 0,0 0-1,0 0 1,0-1 0,0 1-1,1 0 1,-1-1-1,1 0 1,0 1 0,0-1-1,0 0 1,0 0 0,1 0-1,-1 0 1,1 0-1,5 4 1,1-1 594,1-1 0,0 0 0,-1 0 1,1-1-1,1 0 0,-1 0 0,1-2 0,-1 1 0,1-1 0,0-1 0,19 1 0,-12-1 684,-1-2 0,1 0 0,-1-1-1,1 0 1,-1-2 0,27-8 0,15-15-289,-58 27-1009,-1 0 0,1-1 0,0 1 0,-1 0 0,1 0 0,-1 0 0,1-1 0,-1 1 0,1 0 0,-1 0 0,1 0 0,0 0 0,-1 0 0,1 0 0,-1 0 0,1 0 0,-1 0 0,1 1 0,0-1 0,-1 0 0,1 0 0,-1 0 0,1 1 0,-1-1 0,1 0 0,-1 1 0,1-1 0,-1 0 0,1 1 0,-1-1 0,0 0 0,1 1 0,-1-1 0,0 1 0,1-1 0,-1 1 0,0-1 0,1 1 0,-1 0 0,7 28 0,-4-10 0,-1-16 0,-1 0 0,1 0 0,-1 0 0,1-1 0,0 1 0,0 0 0,0-1 0,0 1 0,0-1 0,1 0 0,-1 0 0,1 0 0,0 0 0,-1 0 0,1 0 0,0-1 0,0 1 0,0-1 0,0 0 0,0 0 0,0 0 0,1 0 0,5 0 0,-5-1 0,1 0 0,0 0 0,0 0 0,-1 0 0,1-1 0,0 0 0,-1 0 0,1 0 0,-1 0 0,1-1 0,-1 0 0,0 0 0,0 0 0,1 0 0,-1-1 0,4-3 0,2-4-259,0 0 1,-1 0 0,-1-1-1,1 0 1,-2-1 0,0 0-1,0 0 1,-1 0 0,-1-1-1,0 0 1,0 0 0,-1 0-1,2-18 1,2-21-1896,-2 0 0,-1-60 0,-5 105 2067,-3-139-5692,-4 77 4843,-17-79-1,23 143 908,-20-74-149,19 74 178,1 0 0,-1 1 1,-1-1-1,1 0 0,0 1 0,-1 0 0,0 0 1,0-1-1,0 2 0,-1-1 0,1 0 1,-6-4-1,8 8 0,0-1 0,0 0 0,0 1 0,0 0 0,-1-1 0,1 1 0,0-1 0,0 1 0,0 0 0,0 0 0,-1 0 0,1 0 0,0-1 0,0 2 0,0-1 0,0 0 0,-1 0 0,1 0 0,0 0 0,0 1 0,0-1 0,0 1 0,0-1 0,-1 1 0,1-1 0,0 1 0,0 0 0,0-1 0,1 1 0,-1 0 0,0 0 0,0-1 0,0 1 0,0 0 0,1 0 0,-1 0 0,0 2 0,-3 3 0,0 0 0,1 1 0,0 0 0,0 0 0,-2 7 0,-2 14 0,1 0 0,1 0 0,2 0 0,0 1 0,2-1 0,1 0 0,2 1 0,8 48 0,-2-38 0,1 0 0,2-1 0,1 0 0,2-1 0,36 65 0,-38-81 0,2 0 0,0-1 0,1 0 0,2-2 0,0 1 0,0-2 0,2-1 0,0 0 0,1-1 0,37 21 0,-39-27 0,0 0 0,1-1 0,0-1 0,1-1 0,0-1 0,0-1 0,0 0 0,0-1 0,0-2 0,1 0 0,-1-1 0,1-1 0,25-4 0,21-10 0</inkml:trace>
  <inkml:trace contextRef="#ctx0" brushRef="#br0" timeOffset="5898.92">6377 957 8192,'7'0'18022,"13"0"-18022,11-3 0,10-2 0,10-10 0,6-4 0,-2-8 0,-4 0 0,-11-6 0,-11-5 0,-12 5 0</inkml:trace>
  <inkml:trace contextRef="#ctx0" brushRef="#br0" timeOffset="6131.45">6419 343 8192,'-1'4'11332,"1"12"-11332,4 17 6690,1 22-6690,7 22 0,1 17 0,14 13-3356,1 0 3356,7-8-5484,1-13 5484,9-14-7956,4-20 6730,1-29 1226,-8-18 0</inkml:trace>
  <inkml:trace contextRef="#ctx0" brushRef="#br0" timeOffset="6568.95">7795 5 8192,'-1'-5'18022,"2"16"-18022,-1 19 0,-4 18 0,-1 19 0,-14 24 0,-4 14 0,-5 3-2971,2-5 2971,6-13-5849,6-30-3353,5-24 9202</inkml:trace>
  <inkml:trace contextRef="#ctx0" brushRef="#br0" timeOffset="6786.2">7245 68 8192,'10'4'18022,"22"12"-18022,28 13 0,24 21 0,20 19 0,6 20-3356,3 16 3356,-7 1-5996,-11-10 5996,-10-21-7460,-17-17 7460,-12-18-1210,-16-15 1210</inkml:trace>
  <inkml:trace contextRef="#ctx0" brushRef="#br0" timeOffset="8123.53">2715 3730 8192,'7'0'11332,"10"0"-11332,16-3 6690,21-2-6690,22-7 0,16-1 0,8 1 0,1-4 0,-7 0-2971,-15 3 2971,-21-3 2971,-20 1-2971</inkml:trace>
  <inkml:trace contextRef="#ctx0" brushRef="#br0" timeOffset="8327.67">3223 3391 8192,'7'-16'11332,"10"14"-4642,9 11-6690,7 12 0,5 9 0,-3 10 0,-8 10 0,-9 10 0,-7 6 0,-13 2 0,-13 1 0,-4-5 0,-6-12 0,1-16 0</inkml:trace>
  <inkml:trace contextRef="#ctx0" brushRef="#br0" timeOffset="9090.14">5065 2777 8192,'-1'-8'1493,"1"0"-1,-1 0 1,0-1 0,-1 1 0,0 0 0,0 0-1,-1 0 1,0 1 0,-7-15 0,5 14-787,0 1 0,-1-1 0,1 1-1,-1 0 1,-12-11 0,10 12-624,0 0 0,-1 0 0,1 0-1,-20-8 1,19 10-310,0 1 1,0 0-1,0 0 0,-1 1 1,1 0-1,-1 1 0,1 0 1,-1 1-1,0-1 0,1 2 1,-1 0-1,-17 3 0,19-2 369,0 0 0,1 1 0,-1 0 0,0 1 0,1 0 0,0 0 0,0 0 0,0 1 0,-12 10 0,8-2-209,0 0 0,0 0 1,1 1-1,1 0 0,1 1 1,0 0-1,0 0 0,2 1 1,0 0-1,1 0 0,-4 18 1,1 4-819,2 1 0,1 0 0,1 67 0,6-66-493,1 0 0,2-1 0,1 1 0,3-1 0,1 0 0,20 51 0,-22-70 1092,1 0 1,0 0-1,2-1 0,0-1 1,1 1-1,1-2 0,1 0 1,0 0-1,1-2 0,1 0 1,0 0-1,1-1 0,25 14 1,-31-22 286,1-1 0,0 0 0,0-1 0,0-1 0,1 1 0,-1-2 0,1 0 0,-1-1 0,1 0 0,0 0 0,0-2 0,0 0 0,-1 0 0,1-1 0,-1 0 0,1-1 0,23-10 0,-5 1 0,-2-2 0,1-1 0,-2-1 0,0-2 0,46-37 0,-52 37 0,-2-1 0,0 0 0,0-2 0,-2 0 0,-1-1 0,-1-1 0,0-1 0,-2 0 0,-1-1 0,-1 0 0,-1-1 0,-1 0 0,-1-1 0,-2 0 0,0 0 0,-2-1 0,-1 1 0,-2-1 0,0 0 0,-2-1 0,-1 1 0,-1 0 0,-10-47 0,9 62 0,0 1 0,0-1 0,-1 1 0,-1 0 0,0 0 0,-1 0 0,0 0 0,-16-20 0,21 30 0,0 0 0,-1 1 1,1-1-1,0 1 1,-1 0-1,1-1 0,-1 1 1,1 0-1,-1 0 0,0 0 1,1 0-1,-1 0 0,0 0 1,0 0-1,0 1 1,0-1-1,0 1 0,0-1 1,0 1-1,1 0 0,-5 0 1,5 0 75,-1 1 1,0 0-1,1 0 1,-1 0-1,0 0 1,1 0-1,-1 0 0,1 0 1,0 0-1,-1 0 1,1 1-1,0-1 1,0 1-1,0-1 1,0 1-1,0-1 1,0 1-1,-1 2 0,-3 7 94,1 1-1,0-1 0,1 1 0,1 0 0,-3 20 1,3 3-388,0 1 1,2 0 0,2-1 0,11 64 0,-7-73 1712,1 1-1,16 36 0,-15-43 901,2-1-1,0 0 0,20 27 0,9 2-1068</inkml:trace>
  <inkml:trace contextRef="#ctx0" brushRef="#br0" timeOffset="9745.83">5149 3349 8192,'42'-3'12407,"-1"-5"-7238,-1-3-6269,41-19-1,-55 19 1272,57-22-2914,-2-4-1,87-55 1,-128 68 1558,-2-3 1,-1-1-1,-1-1 0,-1-3 0,58-68 0,-83 88 1157,0-1 0,-2 0 0,1 0-1,-2-1 1,0-1 0,0 1 0,8-30 0,-14 40 28,0-1 1,0 1-1,-1 0 1,1 0-1,-1-1 1,0 1-1,0 0 1,-1-1-1,1 1 1,-1 0-1,0-1 1,0 1 0,0 0-1,-1 0 1,0 0-1,1 0 1,-1 0-1,-1 1 1,1-1-1,0 0 1,-1 1-1,0 0 1,0-1-1,0 1 1,0 0-1,0 1 1,-1-1 0,1 0-1,-1 1 1,0 0-1,0 0 1,1 0-1,-7-1 1,6 1 2,-1 1 0,0-1 0,0 1 0,0 1 0,0-1-1,0 1 1,0 0 0,0 0 0,0 0 0,0 1 0,0 0 0,0 0 0,1 0 0,-1 0 0,0 1 0,0 0 0,1 0 0,-6 3 0,5-2 246,1 0-1,0 0 1,0 0 0,0 0 0,0 0 0,0 1-1,-6 8 1,8-9 234,0 0 1,1 0-1,-1 0 0,0 0 0,1 0 0,0 1 1,0-1-1,0 1 0,0-1 0,0 1 0,0 5 1,1-7-234,0 0 0,0 0-1,0 0 1,1 0 0,-1 0 0,1 0 0,-1-1 0,1 1 0,-1 0 0,1 0 0,0-1 0,0 1 0,0 0 0,0-1 0,0 1 0,0-1 0,0 1 0,3 1 0,-1 0 144,1-1 0,-1 1 0,1-1 0,0 0-1,-1 0 1,1-1 0,8 4 0,5-1 141,1-1 0,-1 0 0,20 0 0,-29-3-606,188 4 279,-191-4-208,0 0 0,0 1 0,-1 0 0,1-1 0,0 1 0,-1 1 0,1-1 0,0 1 0,-1 0 0,0 0 0,1 0 0,-1 0 0,6 6 0,-7-6 0,-1 0 0,0 1 0,-1-1 0,1 1 0,0-1 0,-1 1 0,1 0 0,-1 0 0,0 0 0,0 0 0,0 0 0,0 0 0,-1 0 0,1 0 0,-1 0 0,0 0 0,0 0 0,0 0 0,0 0 0,0 0 0,-2 5 0,-9 45 0,7-36 0,1-1 0,0 1 0,1-1 0,1 26 0,1-36 0,1-1 0,0 1 0,0-1 0,0 1 0,1-1 0,0 1 0,0-1 0,0 0 0,1 0 0,0 0 0,0 0 0,0 0 0,0 0 0,1-1 0,0 0 0,0 0 0,6 6 0,-4-6 6,0 1 1,-1-1-1,2-1 1,-1 1-1,0-1 1,1 0-1,-1-1 0,1 1 1,0-1-1,0 0 1,0-1-1,0 0 1,0 0-1,0-1 1,0 1-1,0-1 1,0-1-1,0 0 1,0 0-1,0 0 1,0-1-1,0 0 1,7-3-1,-2 0-252,0 0 0,-1-1 0,0-1 0,0 0 0,0 0 0,-1-1 0,0-1 0,-1 0 0,1 0 0,-2 0 0,16-22 0,-11 9-851,0-1 0,-1 0 0,-1 0 1,-1-1-1,-1 0 0,-2-1 0,0 0 0,-1-1 0,3-50 1,-7 42-208,-2 0 1,-6-51 0,0 42 1129,-19-67 1,17 81 173,-1 0 0,-2 1 0,-21-43 0,31 68 0,0 1 0,-1-1 0,1 1 0,-1-1 0,0 1 0,1 0 0,-1 0 0,0 0 0,-1 0 0,1 0 0,0 0 0,0 0 0,-1 1 0,1-1 0,-1 1 0,0 0 0,1 0 0,-1 0 0,-4-2 0,5 3 0,1 1 0,0-1 0,0 0 0,-1 0 0,1 0 0,0 1 0,0-1 0,0 0 0,0 1 0,0-1 0,0 1 0,-1 0 0,1-1 0,0 1 0,1 0 0,-1 0 0,0-1 0,-1 2 0,0 1 0,0 0 0,0 0 0,0 0 0,0 0 0,1 0 0,-1 0 0,1 0 0,-1 7 0,-2 6 0,1 1 0,1 0 0,0 0 0,2 0 0,0 1 0,3 26 0,25 104 0,-20-114 0,2 1 0,1-2 0,1 0 0,2 0 0,1-1 0,26 40 0,-33-60 0,1-1 0,0 0 0,1 0 0,0-1 0,1 0 0,0-1 0,22 15 0,-23-19 0,-1 0 0,1-1 0,0 0 0,1 0 0,-1-1 0,0 0 0,1-1 0,0 0 0,0-1 0,-1 0 0,18-1 0,-8-2 0,39-8 0,11-9 0</inkml:trace>
  <inkml:trace contextRef="#ctx0" brushRef="#br0" timeOffset="9981.33">7287 2693 8192,'12'0'8819,"11"-3"-8819,19-2 7350,16-7-7350,10-1 1853,3-3-1853,-7 3 0,-13-5 0,-9 1 0,-12 3 0</inkml:trace>
  <inkml:trace contextRef="#ctx0" brushRef="#br0" timeOffset="10183.34">7520 2269 8192,'0'11'11332,"0"18"-11332,3 18 6690,2 20-6690,-1 9 0,7 5 0,2 4 0,-2-1 0,4-16 0,0-16 0,8-16 0,0-14 0</inkml:trace>
  <inkml:trace contextRef="#ctx0" brushRef="#br0" timeOffset="10604.25">8494 2015 8192,'4'0'907,"0"0"-1,0 0 1,0-1 0,1 1 0,-1-1 0,0 0 0,0-1 0,0 1-1,0-1 1,0 0 0,-1 0 0,6-3 0,-5 2-559,-1 0 1,1-1-1,-1 1 1,0-1-1,0 1 1,0-1-1,0 0 1,-1 0-1,0 0 1,0-1-1,0 1 0,0 0 1,-1-1-1,1 1 1,-1-1-1,1-9 1,-2 11-340,0 0 0,1 0 1,-1 0-1,0 0 0,-1 0 1,1 0-1,-1 0 0,1 0 1,-1 0-1,0 0 0,0 0 1,0 0-1,0 0 0,-1 0 1,1 1-1,-1-1 0,0 1 1,1-1-1,-1 1 0,-1 0 1,1-1-1,0 1 0,0 0 1,-1 0-1,1 1 0,-1-1 1,1 0-1,-1 1 0,0 0 1,0 0-1,0-1 0,1 2 1,-1-1-1,0 0 0,-4 0 1,-4-1-13,1 1 0,-1 0 1,1 0-1,-1 1 0,0 0 0,1 1 1,-1 0-1,1 1 0,-13 3 1,9 0-40,1 0 1,-1 1 0,1 0 0,0 1 0,1 1 0,0 0-1,0 0 1,0 1 0,-12 14 0,10-9-367,1 2 1,0 0-1,1 0 0,1 1 1,1 1-1,-10 21 0,8-11-358,1 1-1,2 0 0,1 0 1,1 1-1,2-1 0,1 2 1,1-1-1,2 59 0,2-71 12,1-1 0,1 0 0,0 0-1,1 0 1,1 0 0,1-1 0,8 18-1,-9-24 622,1 0 0,0-1 0,0 1 0,1-1-1,0 0 1,1-1 0,0 0 0,0 0 0,1 0-1,0-1 1,18 10 0,-9-7 114,1-2 0,0 0-1,1-1 1,0-1 0,0-1 0,0-1 0,0-1-1,1 0 1,-1-2 0,32-1 0,-20-1 22,-1-3 1,0 0 0,0-2-1,0-1 1,-1-2-1,36-15 1,-50 17-3,0-1 0,18-12 0,13-15 0</inkml:trace>
  <inkml:trace contextRef="#ctx0" brushRef="#br0" timeOffset="11287.33">3287 5847 8192,'10'0'11991,"22"-7"-5960,31-3-6031,37-13-3356,30-4 3356,18 4-5996,6-2 5996,-9 3-7460,-26 5 7460,-33 6-1210</inkml:trace>
  <inkml:trace contextRef="#ctx0" brushRef="#br0" timeOffset="11494.4">4006 5529 8192,'-1'-10'11991,"12"-12"-11991,15-1 6031,9 3-6031,10 8 0,8 17 0,3 19 0,-9 20 0,-12 12 0,-13 12 0,-9 9 0,-17 5 0,-20 3 0,-16-1 0,-9-9 0,4-17 0</inkml:trace>
  <inkml:trace contextRef="#ctx0" brushRef="#br0" timeOffset="12258.54">5869 4852 8192,'-1'-31'10269,"-2"-2"-4306,1 20-5204,-1 0 1,0 0 0,-5-13 0,6 20-973,-1 0 0,1 0 0,-1 0 0,-1 0 0,1 1-1,-1-1 1,0 1 0,0 0 0,0 0 0,-1 1 0,-8-8 0,8 9 431,1 0 0,-1 1 0,1-1 0,-1 1 0,-8-2 0,9 3-217,0 0 1,0 1-1,1-1 1,-1 1-1,0 0 1,0 0-1,0 1 1,1-1-1,-1 1 1,0 0 0,0 0-1,1 0 1,-1 0-1,0 1 1,1-1-1,0 1 1,-1 0-1,1 0 1,0 0-1,0 1 1,0-1-1,0 1 1,0-1 0,1 1-1,-5 6 1,-2 4-92,0 0 1,0 0 0,1 1 0,1 0 0,-6 16-1,3-3-420,2-1 0,0 1 0,-4 35-1,7-28-951,2 0 0,2 1 0,1-1 0,7 53 0,-2-49 100,3-2-1,1 1 1,1-1 0,16 35-1,-13-40 978,2-1 0,25 38-1,-32-56 361,0 0 0,1-1 0,0 0 0,1-1 0,0 1 0,1-2 0,0 0 0,1 0 0,0-1 0,15 9 0,-20-14 55,0 0 0,0-1 0,0 1 0,1-1 0,-1-1 0,0 0-1,1 0 1,-1 0 0,1-1 0,0 0 0,-1 0 0,1-1-1,-1 0 1,1 0 0,-1 0 0,0-1 0,0-1 0,1 1-1,-2-1 1,14-7 0,-10 4 408,0-1 1,0 0-1,-1-1 0,15-13 1,-12 7-683,0-1 0,0 0 1,-2 0-1,15-28 1,-8 5-268,-1-1 0,22-79 0,-18 22 511,-3-1 0,-5 0 0,-4-1 0,-6-138 0,-12 304 0,-5 55 0,6 1 0,13 218 0,-2-317-41,2-1 0,1 0 0,0 0 0,10 25 0,-12-42 208,-1 0 0,1 0-1,0 0 1,1-1 0,0 1 0,0-1-1,0 0 1,1 0 0,0 0-1,0-1 1,0 1 0,1-1 0,0-1-1,0 1 1,0-1 0,0 0 0,8 3-1,18 0 394</inkml:trace>
  <inkml:trace contextRef="#ctx0" brushRef="#br0" timeOffset="12912.37">6017 5402 8192,'13'-1'10252,"1"-3"-4875,2-2-3019,9-7-2981,-3 2 785,95-47-4157,-2-6-1,-4-4 0,174-140 1,-266 193 3677,65-60-741,-76 67 1038,0 0 0,-1-1 1,0 0-1,0-1 0,-1 1 0,-1-1 0,7-15 0,-11 24 73,-1-1 0,1 1 0,-1 0 0,1-1 0,-1 1-1,1 0 1,-1-1 0,0 1 0,0 0 0,1-1 0,-1 1 0,0-1 0,0 1 0,-1 0 0,1-1 0,0 1 0,0-1 0,-1 1 0,1 0 0,0-1 0,-1 1 0,0-1 0,0 1 14,0 0 1,0 1-1,0-1 0,0 0 1,0 1-1,0-1 1,0 1-1,-1 0 1,1-1-1,0 1 1,0 0-1,0 0 0,0 0 1,0 0-1,-1 0 1,1 0-1,0 0 1,0 0-1,0 0 1,-2 1-1,-5 1 186,0 0 0,1 1 0,-1-1 1,1 2-1,0-1 0,-10 7 0,6-2 1670,1 0 0,0 1 0,0 0 0,-13 16 0,20-22-1708,0 0 0,0 1 0,1-1 0,-1 1 1,1 0-1,0 0 0,0 0 0,1 0 0,-1 0 0,1 0 1,-1 0-1,1 1 0,1-1 0,-1 0 0,1 1 1,-1-1-1,2 8 0,-1-10-205,1 0 1,0 0 0,0 0-1,0 0 1,0 0 0,1 0-1,-1-1 1,0 1-1,1 0 1,-1-1 0,1 1-1,0-1 1,-1 1-1,1-1 1,0 0 0,0 0-1,0 0 1,0 0 0,0 0-1,0 0 1,0 0-1,3 0 1,7 2-21,-1 0 0,24 1 0,-28-4 25,13 2-14,0-2 0,0 0 0,0-2 0,0 0 0,0-1 0,-1-1 0,1-1 0,-1 0 0,0-2 0,35-17 0,-30 13 0,-23 11 0,-1 0 0,0-1 0,0 1 0,0 0 0,1 0 0,-1 0 0,0 0 0,1 0 0,-1 0 0,0 0 0,0 0 0,1 0 0,-1 0 0,0 0 0,0 0 0,1 0 0,-1 0 0,0 0 0,0 0 0,1 0 0,-1 0 0,0 0 0,1 0 0,-1 0 0,0 0 0,0 0 0,1 1 0,-1-1 0,0 0 0,0 0 0,0 0 0,1 0 0,-1 1 0,0-1 0,0 0 0,0 0 0,0 0 0,1 1 0,-1-1 0,0 0 0,0 0 0,0 1 0,0-1 0,0 0 0,0 0 0,0 1 0,0-1 0,0 0 0,0 1 0,1-1 0,-1 0 0,-1 0 0,1 1 0,0-1 0,0 0 0,0 0 0,0 1 0,0-1 0,0 0 0,0 0 0,0 1 0,-7 19 0,6-18 0,-5 11 0,1-1 0,0 0 0,0 0 0,1 1 0,1 0 0,-3 17 0,5-26 0,1-1 0,0 0 0,0 0 0,0 0 0,1 0 0,-1 0 0,1 0 0,-1 0 0,1 0 0,0 0 0,0 0 0,0 0 0,1 0 0,-1-1 0,1 1 0,0 0 0,-1-1 0,1 0 0,0 1 0,1-1 0,-1 0 0,0 0 0,0 0 0,1 0 0,0 0 0,-1-1 0,1 1 0,0-1 0,3 2 0,-1-1-2,-1 0 0,1-1 1,-1 1-1,1-1 0,0 0 1,0 0-1,0-1 0,-1 1 1,1-1-1,0 0 0,0 0 1,0-1-1,0 0 0,0 1 1,-1-2-1,7-1 0,-5 0-263,0 0 0,0 0 1,0-1-1,0 1 0,-1-2 0,1 1 0,-1-1 0,0 1 0,0-1 0,5-8 0,1-2-692,-2-1 1,1 0-1,-2 0 1,0-1-1,-2 0 1,1 0-1,6-34 1,-1-37-4390,-10 62 4474,-4-41 1,1 51 837,-1 1 0,-1-1 1,0 1-1,-1-1 0,0 1 0,-1 0 0,-1 0 0,-1 1 1,-11-19-1,16 30 34,0-1 0,0 1 0,0 0 0,-1 1 0,0-1 0,1 0 0,-1 1 0,0-1 0,0 1 0,0 0 0,-1 0 0,1 0 0,0 1 0,-1-1 0,1 1 0,-1-1 0,0 1 0,1 0 0,-1 1 0,0-1 0,-4 1 0,5 0 0,-1 0 0,1 1 0,-1 0 0,1-1 0,0 2 0,-1-1 0,1 0 0,0 1 0,0-1 0,0 1 0,0 0 0,0 0 0,0 0 0,0 0 0,1 0 0,-1 1 0,1-1 0,0 1 0,0 0 0,0 0 0,0 0 0,0 0 0,-2 4 0,-2 9 0,0-1 0,0 1 0,2 0 0,0 0 0,0 1 0,2-1 0,0 1 0,1 0 0,1-1 0,0 1 0,4 20 0,-1-13 0,1 1 0,2-1 0,0 0 0,2-1 0,0 0 0,2 0 0,12 22 0,-15-33 0,1-1 0,0 0 0,1 0 0,0-1 0,1 0 0,0 0 0,0-1 0,1 0 0,0-1 0,1-1 0,0 1 0,0-2 0,0 0 0,20 7 0,-16-8 0,-1-1 0,1 0 0,0-1 0,-1-1 0,1 0 0,0-1 0,1-1 0,-1-1 0,0 0 0,0-1 0,-1 0 0,18-6 0,14-9 0</inkml:trace>
  <inkml:trace contextRef="#ctx0" brushRef="#br0" timeOffset="13145.24">7753 4958 8192,'10'0'11332,"4"-3"-11332,11-2 0,11-7 6690,14-2-6690,17-15 0,29-11 0,20-6-3356,5 5 3356,-12-1-5996,-16 7 5996,-24 1 2971,-25 7-2971</inkml:trace>
  <inkml:trace contextRef="#ctx0" brushRef="#br0" timeOffset="13366.49">8070 4365 8192,'15'7'8819,"0"14"-8819,-3 10 7350,6 14-7350,-2 13 1853,-3 13-1853,-3 7 0,-5-2 0,9-6 0,13-16 0,1-17 0</inkml:trace>
  <inkml:trace contextRef="#ctx0" brushRef="#br0" timeOffset="13752.08">8536 4196 8192,'22'-24'9005,"4"9"-3414,-20 14-5200,-1-1 0,0 1 0,1 0 0,-1 0 0,0 1 0,1 0 0,-1 0 0,1 0 0,6 1 0,-2 1-431,-1 1-1,0-1 1,0 1 0,1 1-1,-2 0 1,1 0 0,0 1-1,-1 0 1,0 0-1,0 1 1,8 7 0,-3 1 40,0 0 0,-1 1 0,0 1 0,14 25 0,34 76 0,-40-74 0,-16-34 80,76 145-838,-61-123-439,0 0-1,43 49 1,-57-75 305,0 1 1,0-1-1,1 0 0,-1-1 1,1 0-1,0 1 1,10 4-1,-14-9 712,0 1-1,0 0 0,0 0 1,0-1-1,0 1 1,0-1-1,0 0 1,0 0-1,0 1 0,0-1 1,0 0-1,0-1 1,0 1-1,0 0 1,0-1-1,0 1 0,0-1 1,0 0-1,0 1 1,0-1-1,0 0 1,0 0-1,-1 0 0,1 0 1,0-1-1,-1 1 1,1 0-1,-1-1 1,1 1-1,1-3 0,3-6 67,0-1 0,0 0-1,-1-1 1,0 1-1,-1-1 1,0 0 0,-1 0-1,3-20 1,-5 27 122,15-82-8,6-139 0,-16-92 0,-6 242 0,0-44 0,-1 31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06.9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 2520 8192,'-20'-18'16583,"20"17"-16179,8-13 631,-2 9-1075,1 0 0,0 0 0,0 0 0,1 1 0,0 0 0,13-5 0,-8 3-240,123-48-3989,208-56 1,152-6-3431,681-124 7086,2 0 0,202-63 613,-829 193 0,225-54 0,5-43 0,-363 95 0,185-53 0,589-148 0,-720 192-47,-8-35 653,-441 145 1302,-18 7-200,1 1 0,-1 0 0,1 1 0,0-1 0,0 1 0,13-2 0,-18 4-1469,-1 0 0,0 0 0,1 0-1,-1 0 1,0 0 0,1 1 0,-1-1 0,0 0 0,0 1 0,0-1 0,1 1 0,-1 0 0,0-1-1,0 1 1,0 0 0,0-1 0,2 3 0,-2-1-293,1 0 0,-1 0 0,0 0 0,0 0 0,0 0 0,0 1 0,0-1 0,0 0 0,0 0 0,-1 1 1,1-1-1,-1 5 0,3 38 54,-4 49 0,1 15 0,22 185-2426,0-22 4356,-18-187-2943,81 1016-660,43-220 3051,107 437-4290,-80-708-6545,40-7 5005,-41-131 5055,63 192-603,40 135 0,-171-467-39,-62-189 4023,-17-108 231,-5-28-2982,0 0 0,-1 0-1,1 0 1,-2 0 0,1 0-1,-1 0 1,0 9 0,-1-15-1233,1 0 0,-1 0 0,1 0 0,-1 0 0,1-1 0,-1 1 0,0 0 0,1 0 0,-1-1 0,0 1 0,0-1 0,0 1 0,1 0 0,-1-1 0,0 0 0,0 1 0,0-1 0,0 1 0,0-1 0,0 0 0,0 0 0,0 1 0,0-1 0,0 0 0,0 0 0,0 0 0,0 0 0,0 0 0,0 0 0,0-1 0,0 1 0,-1-1 0,-44-9 0,29 5 0,5 3 13,-67-16-950,-1 4 1,-127-6-1,50 22 1803,-219 33 0,-156 58-2277,193-18 3586,-170 52-3918,-146 34 3291,-1170 185-2517,1304-255-748,82-17 4495,-585 80-5171,819-128 4887,-372 24-4720,332-39 4259,-29 6-3642,19-1 952,84-12 3419,153-4-2762,-1 2 0,1 1 0,-21 4 0,2 1 0,17-5 0</inkml:trace>
  <inkml:trace contextRef="#ctx0" brushRef="#br0" timeOffset="1745.81">45 2605 8192,'-19'8'16119,"8"12"-12621,2 30-6301,9-43 4011,-4 49-1564,3 0-1,2 0 1,13 85 0,45 164-5977,-3-22-1379,20 360 5120,-35-265 2632,-3-69-40,43 401 0,-40 3 0,-41-505 0,22 395 0,7-388 0,20 224 0,-6 86 2476,-30-431-5656,5 0 6373,13 95 9500,-27-106-9853,-2-63-2840,0 0 0,1 1 0,11 33 0,-2-7 0,-11-42 0,0-1 0,0 1 0,1 0 0,-1-1 0,1 1 0,0-1 0,0 1 0,1-1 0,0 0 0,-1 0 0,1 0 0,1 0 0,-1-1 0,6 6 0,-3-5 0,-1-1 0,1 0 0,-1-1 0,1 1 0,0-1 0,0 0 0,0-1 0,0 1 0,0-1 0,1 0 0,6 0 0,101 2 0,-74-4 0,0 3 0,0 1 0,43 9 0,-5 3-62,1-3 1,94 1 0,160-12-1518,-180-3 2461,-35 1-2493,190 2 1736,-104 15-6881,-65 0 305,2-6 4165,-85-8 2232,0-3 0,107-15 0,-93 2 54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12.45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3035 8192,'1'24'12749,"2"1"-7310,3 4-4045,6 15-3797,0-1 3246,327 1239-18136,-89-433 16564,-13 15 729,-198-714 0,-35-132 0,200 647 0,-197-646 206,2 0 1,0-1-1,1 0 0,14 17 1,9 5 8139,-18-22-1893,-4 0-3905,-10-15-2567,1 0 1,-1 1-1,1-1 0,0 0 0,1 0 0,-1 0 0,0-1 1,1 1-1,-1 0 0,1-1 0,0 0 0,0 0 1,0 0-1,0 0 0,0 0 0,1 0 0,-1-1 0,5 2 1,10 1-62,0 0 0,1-1 0,0-2 1,-1 1-1,1-2 0,37-4 0,116-28-2272,-124 21 2466,183-43 2224,113-41-5789,105-27-2785,-162 58 261,145-25 4243,-46 11 1563,110-25 169,355-77 0,-400 84 0,526-127 0,1037-366 0,-1632 473 0,285-96 0,103-46 0,17 65 0,-650 167 0,470-106 0,-573 123 657,0-2 1,0-1 0,-1-1-1,-1-2 1,54-33-1,-82 45 9,1-1 0,-1 1 0,0-1 0,0 0 0,-1 0-1,1 0 1,-1 0 0,0-1 0,0 0 0,5-9 0,-7 11-303,0-1 1,0 1-1,0-1 1,-1 0 0,1 1-1,-1-1 1,0 0-1,0 1 1,0-1-1,0 0 1,0 1 0,-1-1-1,0 0 1,0 1-1,0-1 1,0 1-1,-2-5 1,-15-34-303,2 0-1,2-2 1,-9-47-1,-14-136-178,19 104-294,4 38-849,-72-382 1940,32 268-3871,-42-83-4534,-14 2 3502,-274-532 2422,-97-2 1802,308 535 0,78 117-77,2 5 2344,-7 5 5708,54 95-1489,39 50-6257,0-1-1,-1 2 1,0-1-1,0 1 0,-10-5 1,15 10-229,1 0 0,-1 0 0,0 0 0,0 0 0,0 1 0,0-1 0,0 1 0,0 0 0,0 0 0,0 0 0,0 0 0,0 0 0,0 1 0,0-1 0,0 1 0,0 0 0,1 0 0,-1 0 0,0 0 0,-2 2 0,-8 4 0,1 0 0,0 1 0,-10 9 0,5-4 0,-72 47-179,-2-3 0,-3-4 0,-2-5 0,-109 39 0,-106 19-2495,-3-17-3353,-49 6-543,-2-4 4696,-455 120 1892,-786 161-18,748-190 0,288-21 0,-63 16 0,300-99 0,-45 12 0,-682 237 0,235-67 0,675-216 0,45-9 1136,65-19 3152,0 1 1,1 3-1,-62 41 1,29-5-4557,32-21 268,-53 42 0,69-63 0,0-1 0,-1-1 0,0-2 0,-29 9 0,27-10 0,-1 3 0,0 1 0,-32 20 0,36-19 0,-1 0 0,-49 18 0,49-25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03.25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593 980 24575,'9'24'0,"-2"-9"0,1 16 0,-1 0 0,-2 1 0,-1 0 0,-1 35 0,4 25 0,27 375 0,-33-452 0,4 63 0,-4-70 0,0 0 0,1 0 0,0-1 0,0 1 0,1-1 0,0 1 0,4 8 0,-7-16 0,0 0 0,0 0 0,0 0 0,0 1 0,0-1 0,1 0 0,-1 0 0,0 0 0,0 0 0,0 1 0,0-1 0,0 0 0,0 0 0,0 0 0,0 0 0,0 0 0,0 0 0,0 1 0,1-1 0,-1 0 0,0 0 0,0 0 0,0 0 0,0 0 0,0 0 0,1 0 0,-1 0 0,0 0 0,0 1 0,0-1 0,0 0 0,0 0 0,1 0 0,-1 0 0,0 0 0,0 0 0,0 0 0,0 0 0,1 0 0,-1 0 0,0 0 0,0 0 0,0 0 0,0 0 0,1-1 0,-1 1 0,0 0 0,0 0 0,0 0 0,0 0 0,0 0 0,1 0 0,-1 0 0,0 0 0,3-13 0,-2-20 0,-27-276 0,-3-56 0,28 347 0,5-212 0,-2 203 0,1 1 0,2 0 0,1 0 0,0 0 0,2 0 0,18-38 0,-23 59 8,-1 0-1,1 0 1,0 0-1,0 1 1,1-1-1,-1 1 1,1 0-1,0 0 1,0 0-1,0 1 1,1-1-1,-1 1 1,1 0-1,0 1 1,10-5-1,-11 6-78,0 0 1,0 0-1,1 0 0,-1 1 0,0-1 1,1 1-1,-1 1 0,0-1 1,1 0-1,-1 1 0,0 0 0,0 0 1,1 0-1,-1 1 0,0-1 1,0 1-1,0 0 0,-1 0 0,1 0 1,4 4-1,23 19-6755</inkml:trace>
  <inkml:trace contextRef="#ctx0" brushRef="#br0" timeOffset="220.68">720 1615 24575,'0'-3'0,"7"-13"0,9-3 0,14-9 0,8 0 0,5-2 0,2 3 0,1 7 0,-7 0 0,-4 2 0,-7 6-8191</inkml:trace>
  <inkml:trace contextRef="#ctx0" brushRef="#br0" timeOffset="546.18">1122 1318 24575,'0'-3'0,"7"-9"0,2 9 0,0 11 0,-1 17 0,-3 13 0,-2 8 0,-1 4 0,-2 0 0,4-5 0,11-10 0,11-10 0,4-11 0,5-17 0,3-20 0,-5-16 0,-8-10 0,-8 5-8191</inkml:trace>
  <inkml:trace contextRef="#ctx0" brushRef="#br0" timeOffset="655.23">1122 1107 24575</inkml:trace>
  <inkml:trace contextRef="#ctx0" brushRef="#br0" timeOffset="1589.55">1440 1403 24575,'-1'17'0,"-1"14"0,2 0 0,1 0 0,8 54 0,-9-84 0,0 0 0,0-1 0,0 1 0,1 0 0,-1 0 0,0 0 0,0 0 0,1 0 0,-1 0 0,0-1 0,1 1 0,-1 0 0,1 0 0,-1-1 0,1 1 0,0 0 0,-1 0 0,1-1 0,-1 1 0,1-1 0,0 1 0,0-1 0,-1 1 0,1-1 0,0 1 0,0-1 0,0 0 0,0 1 0,0-1 0,-1 0 0,1 0 0,0 1 0,0-1 0,0 0 0,0 0 0,0 0 0,0 0 0,0 0 0,0-1 0,0 1 0,-1 0 0,1 0 0,0 0 0,0-1 0,0 1 0,0-1 0,0 1 0,-1 0 0,1-1 0,0 1 0,0-1 0,-1 0 0,1 1 0,0-1 0,-1 0 0,1 1 0,0-2 0,5-4 0,0-1 0,0 0 0,0 0 0,7-14 0,-3 2 0,0-1 0,6-23 0,-10 26 0,0 1 0,1 0 0,1 1 0,13-21 0,-21 35 0,0 0 0,1 0 0,-1 0 0,1 1 0,-1-1 0,1 0 0,-1 0 0,1 1 0,0-1 0,-1 0 0,1 1 0,0-1 0,-1 1 0,1-1 0,0 1 0,0-1 0,-1 1 0,1-1 0,0 1 0,0 0 0,0-1 0,0 1 0,0 0 0,0 0 0,0 0 0,-1 0 0,1 0 0,0 0 0,0 0 0,0 0 0,0 0 0,0 0 0,0 0 0,1 1 0,0 1 0,0 0 0,1 0 0,-1 0 0,0 1 0,0-1 0,0 0 0,-1 1 0,3 4 0,5 7 0,0-2 0,0-1 0,0 0 0,1 0 0,0-1 0,0-1 0,1 1 0,1-2 0,0 0 0,0 0 0,0-1 0,1 0 0,0-1 0,0-1 0,1 0 0,0-1 0,-1 0 0,1-1 0,25 2 0,-18-3 0,-1-2 0,0 0 0,0-1 0,0-1 0,0-1 0,0 0 0,0-2 0,-1 0 0,1-2 0,24-11 0,-36 15 0,-1-1 0,1 0 0,-1-1 0,0 0 0,0 0 0,-1 0 0,0-1 0,1 0 0,-2 0 0,1-1 0,-1 1 0,0-1 0,0-1 0,-1 1 0,0 0 0,-1-1 0,1 0 0,-1 0 0,-1 0 0,0 0 0,0-1 0,0 1 0,-1 0 0,0-1 0,-1 1 0,0-1 0,-1-9 0,1 14 0,-1 0 0,1 0 0,-1-1 0,0 1 0,0 0 0,0 0 0,-1 0 0,0 0 0,1 1 0,-1-1 0,-1 0 0,1 1 0,0-1 0,-1 1 0,0 0 0,0 0 0,0 0 0,0 0 0,-4-3 0,4 5 0,0-1 0,0 1 0,0 0 0,0 0 0,0 0 0,0 1 0,0-1 0,0 1 0,-1 0 0,1-1 0,0 1 0,0 1 0,0-1 0,-1 0 0,1 1 0,0 0 0,0 0 0,0-1 0,0 2 0,0-1 0,0 0 0,0 1 0,1-1 0,-1 1 0,0 0 0,-2 3 0,-3 2 0,0 0 0,1 0 0,-1 1 0,2 0 0,0 1 0,0 0 0,0 0 0,1 0 0,0 0 0,1 1 0,-5 14 0,4-9 0,1 0 0,1 0 0,0 0 0,0 0 0,2 1 0,0-1 0,1 19 0,1-31 0,-1 0 0,0 0 0,1 0 0,-1 0 0,1 0 0,0 0 0,0 0 0,0 0 0,0-1 0,1 1 0,-1 0 0,1-1 0,0 1 0,3 3 0,-3-4 0,-1-1 0,1 0 0,0 0 0,0 0 0,-1 0 0,1 0 0,0 0 0,0 0 0,0 0 0,0-1 0,0 1 0,1-1 0,-1 0 0,0 1 0,0-1 0,3 0 0,0-1 0,0 0 0,0 0 0,0 0 0,0-1 0,-1 1 0,1-1 0,0 0 0,-1 0 0,0-1 0,1 0 0,-1 1 0,0-1 0,-1-1 0,1 1 0,0 0 0,4-6 0,2-6 0,0 0 0,-1-1 0,0 0 0,-1 0 0,-1-1 0,0 0 0,5-26 0,-4 8 0,-2 0 0,4-68 0,-9 67 0,-2 1 0,-2-1 0,-1 1 0,-1 0 0,-2 1 0,-2-1 0,-1 1 0,-16-38 0,3 30 0,22 40 0,0 0 0,0 0 0,-1 0 0,1 0 0,-1 1 0,1-1 0,-1 0 0,0 1 0,0-1 0,1 1 0,-1 0 0,0 0 0,0 0 0,-1 0 0,1 0 0,-3-1 0,4 2 0,0 0 0,0 0 0,0 0 0,0 0 0,0 0 0,0 1 0,0-1 0,0 0 0,0 1 0,0-1 0,0 1 0,0-1 0,0 1 0,1-1 0,-1 1 0,0-1 0,0 1 0,0 0 0,1 0 0,-1-1 0,0 1 0,1 0 0,-1 0 0,1 0 0,-1 0 0,1 0 0,-1 0 0,0 1 0,-9 32 0,10-33 0,-6 28 0,2 0 0,1 0 0,1 0 0,1 1 0,5 31 0,-3-42 0,2 0 0,0-1 0,2 1 0,0-1 0,0 0 0,2-1 0,0 1 0,1-1 0,12 17 0,-15-26 5,1-1 1,0 0-1,0-1 0,1 0 0,0 0 0,0 0 1,0 0-1,1-1 0,0-1 0,0 1 1,0-1-1,1-1 0,-1 1 0,1-1 0,0-1 1,-1 0-1,1 0 0,0-1 0,1 0 0,-1 0 1,0-1-1,15-2 0,-5 1-140,-1-2 0,0 0 0,0-2 0,0 1 0,-1-2 0,0-1 0,0 0 0,0-1 0,-1 0 0,20-15 0,3-8-6691</inkml:trace>
  <inkml:trace contextRef="#ctx0" brushRef="#br0" timeOffset="1920.07">2773 1107 24575,'-4'0'0,"3"0"0,12-3 0,15-9 0,17-10 0,13-7 0,7-7 0,0 3 0,1-4 0,-4 5 0,-12 7-8191</inkml:trace>
  <inkml:trace contextRef="#ctx0" brushRef="#br0" timeOffset="2245.75">3112 726 24575,'-8'0'0,"-2"-7"0,8-3 0,12 1 0,7 2 0,8 1 0,7 14 0,2 12 0,2 13 0,-5 16 0,0 14 0,-6 10 0,-14 8 0,-17 4 0,-17-2 0,-9-10 0,-6-12 0,4-16-8191</inkml:trace>
  <inkml:trace contextRef="#ctx0" brushRef="#br0" timeOffset="3116.36">4064 493 24575,'0'-22'0,"-1"-1"0,-1 0 0,-7-37 0,8 56 0,0-1 0,0 1 0,0-1 0,-1 1 0,0-1 0,0 1 0,0 0 0,0 0 0,0 0 0,-1 0 0,0 0 0,0 0 0,0 1 0,0 0 0,-1-1 0,1 1 0,-1 0 0,0 1 0,0-1 0,0 1 0,0-1 0,0 1 0,-1 0 0,-7-2 0,9 4 0,-1 0 0,1 0 0,-1 0 0,1 0 0,-1 1 0,1-1 0,-1 1 0,1 0 0,-1 0 0,1 0 0,0 0 0,-1 1 0,1-1 0,0 1 0,0 0 0,0 0 0,0 0 0,1 0 0,-1 0 0,0 1 0,1 0 0,0-1 0,0 1 0,-1 0 0,-1 4 0,-4 6 0,1 0 0,0 0 0,1 0 0,0 1 0,-4 15 0,-1 13 0,2 1 0,1 0 0,3 0 0,1 1 0,3-1 0,1 1 0,2 0 0,2-1 0,2 0 0,14 54 0,-15-81 0,0 0 0,1-1 0,1 0 0,0 0 0,1 0 0,1-1 0,0 0 0,1-1 0,0 0 0,25 23 0,-30-31 0,1-1 0,0 1 0,0-1 0,0 0 0,1-1 0,-1 1 0,1-1 0,0-1 0,0 1 0,0-1 0,0 0 0,0-1 0,0 1 0,1-2 0,-1 1 0,0-1 0,1 0 0,-1 0 0,0-1 0,1 0 0,-1 0 0,0-1 0,0 0 0,0 0 0,0-1 0,9-5 0,-1 0 0,-1-1 0,0-1 0,0 0 0,-1-1 0,0 0 0,-1-1 0,-1 0 0,0-1 0,0-1 0,-2 1 0,1-2 0,-2 1 0,0-1 0,8-20 0,-3 1 0,-2 0 0,-1-1 0,-1 0 0,-2 0 0,4-63 0,-8-17 0,-3 98 0,-1 1 0,-1 0 0,-1-1 0,-8-27 0,11 42 0,-1 0 0,1 1 0,-1-1 0,0 0 0,0 1 0,1-1 0,-1 0 0,0 1 0,0-1 0,-1 1 0,1 0 0,0-1 0,-2 0 0,3 1 0,-1 1 0,1 0 0,0 0 0,-1 0 0,1 0 0,-1 0 0,1 0 0,0 0 0,-1 0 0,1 0 0,-1 0 0,1 0 0,0 0 0,-1 0 0,1 0 0,-1 0 0,1 1 0,0-1 0,-1 0 0,1 0 0,-1 0 0,1 1 0,0-1 0,-1 0 0,1 0 0,0 1 0,0-1 0,-1 0 0,1 1 0,0-1 0,0 0 0,-1 1 0,1 0 0,-3 3 0,1 1 0,0 0 0,0 1 0,0-1 0,0 0 0,-1 11 0,-2 27 0,1 0 0,3 0 0,1 0 0,2 0 0,2 0 0,2-1 0,1 1 0,3-1 0,23 65 0,-27-94 17,0 1 0,1-1 1,0 0-1,1-1 0,1 0 0,18 22 0,-23-31-34,-1 0 0,1 0 1,0 0-1,-1 0 0,1 0 0,1-1 1,-1 0-1,0 1 0,0-2 0,1 1 1,4 1-1,-6-3-47,0 1 0,0-1-1,0 0 1,0 0 0,0 0 0,0 0 0,0-1-1,0 1 1,-1-1 0,1 0 0,0 0 0,0 0-1,-1 0 1,1 0 0,0-1 0,-1 1 0,1-1-1,-1 0 1,4-2 0,12-16-6762</inkml:trace>
  <inkml:trace contextRef="#ctx0" brushRef="#br0" timeOffset="3819.1">4149 980 24575,'0'1'0,"0"0"0,0-1 0,0 1 0,0-1 0,0 1 0,1-1 0,-1 1 0,0-1 0,0 1 0,1-1 0,-1 1 0,0-1 0,1 1 0,-1-1 0,1 1 0,-1-1 0,1 0 0,-1 1 0,0-1 0,1 0 0,-1 1 0,1-1 0,0 0 0,-1 1 0,1-1 0,-1 0 0,1 0 0,-1 0 0,1 0 0,0 0 0,-1 0 0,1 0 0,-1 0 0,1 0 0,0 0 0,-1 0 0,1 0 0,26-4 0,1-5 0,-1-1 0,0-1 0,0-1 0,37-25 0,-16 6 0,57-49 0,-76 55 0,37-40 0,-58 57 0,-1-1 0,0 0 0,0 0 0,-1-1 0,0 0 0,-1 0 0,0 0 0,-1 0 0,4-13 0,-8 21 0,1 1 0,-1-1 0,1 0 0,-1 0 0,0 0 0,1 0 0,-1 0 0,0 0 0,0 0 0,-1 0 0,1 0 0,0 0 0,-1 0 0,1 0 0,-1 0 0,1 1 0,-1-1 0,0 0 0,0 0 0,0 0 0,0 1 0,0-1 0,0 1 0,0-1 0,-1 1 0,1-1 0,-1 1 0,1 0 0,-1-1 0,1 1 0,-1 0 0,0 0 0,1 0 0,-1 0 0,-2 0 0,0 0 0,0 0 0,1 0 0,-1 1 0,1 0 0,-1-1 0,0 1 0,1 1 0,-1-1 0,0 0 0,1 1 0,-1 0 0,0 0 0,1 0 0,0 0 0,-1 0 0,1 1 0,-6 3 0,4-1 0,-1 0 0,2 0 0,-1 1 0,1 0 0,-1 0 0,1 0 0,1 0 0,-1 0 0,1 1 0,0-1 0,0 1 0,0 0 0,1 0 0,0 0 0,0 1 0,1-1 0,-2 7 0,3-10 0,-1 1 0,1-1 0,0 1 0,0-1 0,1 1 0,-1-1 0,0 0 0,1 1 0,0-1 0,0 0 0,0 1 0,0-1 0,1 0 0,-1 0 0,1 0 0,0 0 0,0 0 0,0-1 0,0 1 0,0 0 0,1-1 0,-1 1 0,1-1 0,-1 0 0,1 0 0,0 0 0,0 0 0,0-1 0,0 1 0,0-1 0,1 0 0,-1 0 0,4 1 0,12 2 0,0-2 0,1 0 0,-1-1 0,1-1 0,-1 0 0,1-2 0,-1 0 0,25-7 0,-43 9 0,-1 0 0,1-1 0,0 1 0,0 0 0,0 0 0,-1 0 0,1 0 0,0 0 0,0 1 0,0-1 0,-1 0 0,1 0 0,0 0 0,0 1 0,-1-1 0,1 0 0,0 1 0,-1-1 0,1 1 0,0-1 0,-1 1 0,1-1 0,-1 1 0,1-1 0,0 1 0,-1-1 0,1 1 0,-1 0 0,0-1 0,1 1 0,-1 0 0,0 0 0,1-1 0,-1 1 0,0 0 0,0 0 0,1-1 0,-1 1 0,0 0 0,0 0 0,0 0 0,0-1 0,0 2 0,-5 44 0,3-33 0,1-7 0,0 1 0,1-1 0,0 0 0,0 0 0,1 1 0,-1-1 0,1 0 0,1 0 0,-1 0 0,1 0 0,3 8 0,-2-10 0,-1 0 0,1 0 0,0-1 0,0 1 0,0-1 0,0 0 0,1 0 0,-1 0 0,1 0 0,0 0 0,0-1 0,0 1 0,0-1 0,0 0 0,0-1 0,5 2 0,-4-1 0,0-1 0,0 0 0,0 0 0,0 0 0,0 0 0,0-1 0,0 0 0,0 0 0,0 0 0,0-1 0,0 0 0,0 0 0,0 0 0,0 0 0,5-3 0,-2 0 0,0 0 0,-1 0 0,0-1 0,0 0 0,0 0 0,0-1 0,-1 1 0,8-10 0,-2-1 0,1-1 0,-2 0 0,0 0 0,-1-1 0,-1-1 0,12-34 0,-12 20 0,-1-1 0,-1 0 0,-2 0 0,-1 0 0,-2-1 0,-1 1 0,-2-1 0,-1 0 0,-2 1 0,-11-46 0,-7 13 0,19 62 0,1 0 0,-1-1 0,0 2 0,0-1 0,0 0 0,0 0 0,-1 1 0,0 0 0,-6-6 0,9 9 0,0 1 0,0-1 0,0 0 0,0 0 0,0 1 0,-1-1 0,1 1 0,0-1 0,0 1 0,0 0 0,-1-1 0,1 1 0,0 0 0,-1 0 0,1 0 0,0 0 0,0 0 0,-1 0 0,1 0 0,0 0 0,0 0 0,-1 1 0,1-1 0,0 1 0,0-1 0,-1 1 0,1-1 0,0 1 0,0-1 0,-1 2 0,-1 1 0,0 0 0,0 0 0,0 0 0,1 0 0,-1 0 0,1 1 0,0 0 0,-3 5 0,-4 12 0,2 0 0,0 1 0,1-1 0,1 1 0,-4 43 0,7-18 0,4 87 0,0-116 0,0 0 0,1-1 0,0 1 0,2-1 0,0 0 0,1 0 0,1 0 0,0-1 0,12 20 0,-14-30 0,-1 1 0,1-1 0,0 0 0,1 0 0,-1 0 0,1-1 0,0 0 0,1 0 0,-1 0 0,1-1 0,0 0 0,0 0 0,1-1 0,-1 0 0,1 0 0,-1-1 0,1 0 0,0 0 0,0-1 0,0 0 0,0 0 0,13-1 0,-9-1-170,1 0-1,-1-2 0,0 1 1,0-1-1,0-1 0,-1 0 1,17-9-1,19-12-6655</inkml:trace>
  <inkml:trace contextRef="#ctx0" brushRef="#br0" timeOffset="4037.43">5546 641 24575,'7'0'0,"6"-7"0,8-2 0,11-11 0,11-9 0,6 0 0,5-5 0,4 3 0,-1-1 0,-10 5-8191</inkml:trace>
  <inkml:trace contextRef="#ctx0" brushRef="#br0" timeOffset="4285.25">5715 260 24575,'-1'4'0,"1"15"0,1 12 0,-1 15 0,-1 18 0,1 15 0,4 17 0,1-1 0,7-10 0,15-19 0,11-21 0,-1-18-8191</inkml:trace>
  <inkml:trace contextRef="#ctx0" brushRef="#br0" timeOffset="4707.22">6266 175 24575,'3'72'0,"4"-1"0,22 95 0,-2-14 0,-22-116 0,1-2 0,-2 1 0,0 62 0,-12-124 0,-13-81 0,5 0 0,5-1 0,4-177 0,8 271 0,0 0 0,1 0 0,0 0 0,1 0 0,1 0 0,10-27 0,-12 37 0,0 1 0,0 0 0,1 0 0,-1 0 0,1 0 0,0 1 0,0-1 0,0 1 0,1-1 0,-1 1 0,1 0 0,-1 1 0,1-1 0,0 0 0,0 1 0,0 0 0,1 0 0,-1 0 0,0 1 0,1-1 0,0 1 0,-1 0 0,1 1 0,-1-1 0,1 1 0,6 0 0,-6 0 9,0 1-1,0 0 1,0 0-1,-1 0 1,1 0-1,0 1 1,-1 0 0,1 0-1,-1 0 1,1 1-1,-1-1 1,0 1-1,5 5 1,-2-2-257,0 1 1,0 0-1,-1 0 1,0 0-1,9 16 1,1 10-6579</inkml:trace>
  <inkml:trace contextRef="#ctx0" brushRef="#br0" timeOffset="4863.74">6308 493 24575,'7'-3'0,"13"-9"0,18-13 0,16-10 0,11-5 0,-3 3 0,-12 9-8191</inkml:trace>
  <inkml:trace contextRef="#ctx0" brushRef="#br0" timeOffset="5800.63">318 3520 24575,'0'-7'0,"0"5"0,0 13 0,0 23 0,0 24 0,0 27 0,0 31 0,0 25 0,0 14 0,0-5 0,0-21 0,0-26 0,0-40 0,0-31-8191</inkml:trace>
  <inkml:trace contextRef="#ctx0" brushRef="#br0" timeOffset="6207.42">21 4007 24575,'-1'-4'0,"1"1"0,-1-1 0,0 0 0,0 0 0,0 0 0,-3-5 0,-3-15 0,5 9 0,0 0 0,2 0 0,0 0 0,1 0 0,0 0 0,1 0 0,1 0 0,0 1 0,1-1 0,0 1 0,2 0 0,-1 0 0,2 0 0,15-24 0,-3 8 0,2 1 0,1 1 0,2 1 0,0 1 0,32-26 0,-29 29 0,1 2 0,0 0 0,2 2 0,0 2 0,1 0 0,1 2 0,0 2 0,1 0 0,1 3 0,56-12 0,-81 21 0,1 0 0,-1 1 0,1-1 0,-1 2 0,1 0 0,-1 0 0,0 0 0,1 1 0,-1 1 0,0-1 0,0 2 0,0-1 0,-1 1 0,11 6 0,-14-6 0,0 0 0,0 0 0,0 0 0,0 1 0,-1-1 0,0 1 0,0 0 0,0 1 0,-1-1 0,1 0 0,-1 1 0,-1 0 0,1 0 0,-1 0 0,0 0 0,0 0 0,-1 0 0,0 1 0,0-1 0,0 0 0,-1 1 0,0 7 0,-1 4 0,-1 0 0,-1 1 0,-1-1 0,0 0 0,-2-1 0,-8 22 0,-55 101 0,29-69 0,-4-1 0,-2-2 0,-3-2 0,-91 93 0,112-128 0,27-31 0,1 1 0,-1-1 0,1 0 0,0 1 0,-1-1 0,1 1 0,0-1 0,0 0 0,-1 1 0,1-1 0,0 1 0,0-1 0,0 1 0,-1-1 0,1 1 0,0-1 0,0 1 0,0-1 0,0 1 0,0-1 0,0 1 0,0-1 0,0 1 0,0-1 0,0 1 0,0-1 0,1 1 0,-1-1 0,0 0 0,0 1 0,0-1 0,1 1 0,-1-1 0,0 1 0,0-1 0,1 0 0,-1 1 0,0-1 0,1 1 0,-1-1 0,0 0 0,1 0 0,-1 1 0,1-1 0,-1 0 0,1 0 0,-1 1 0,1-1 0,28 5 0,-18-5 0,5 3 0,1 1 0,-1 0 0,1 2 0,-2 0 0,31 15 0,68 51 0,-101-64 0,-7-3-91,1 0 0,-1-1 0,1 0 0,1 0 0,-1-1 0,0 0 0,1 0 0,-1-1 0,1 1 0,0-2 0,0 1 0,0-1 0,0-1 0,10 1 0,14-7-6735</inkml:trace>
  <inkml:trace contextRef="#ctx0" brushRef="#br0" timeOffset="6984.56">868 4218 24575,'3'3'0,"1"-1"0,-1 0 0,1-1 0,0 1 0,0-1 0,0 1 0,0-1 0,0 0 0,0-1 0,0 1 0,1-1 0,-1 0 0,6 0 0,4 1 0,-7-1 0,-1 1 0,1-1 0,0 0 0,-1-1 0,1 1 0,0-1 0,-1-1 0,1 1 0,0-1 0,-1 0 0,0-1 0,0 0 0,0 1 0,0-2 0,0 1 0,0-1 0,-1 0 0,8-7 0,-8 5 0,1 0 0,-1-1 0,-1 0 0,1 0 0,-1 0 0,-1-1 0,1 1 0,-1-1 0,0 0 0,-1 0 0,0 0 0,0 0 0,-1 0 0,1-14 0,-2 12 0,0 1 0,0-1 0,-1 0 0,-1 1 0,1-1 0,-5-9 0,6 16 0,-1 0 0,0 0 0,0 0 0,-1 0 0,1 0 0,0 0 0,-1 0 0,0 0 0,0 1 0,0-1 0,0 1 0,0 0 0,0-1 0,-1 1 0,1 0 0,-1 0 0,1 0 0,-1 1 0,0-1 0,0 1 0,-5-3 0,6 4 0,1 0 0,-1-1 0,0 1 0,1 0 0,-1 0 0,0 0 0,1 1 0,-1-1 0,0 0 0,1 0 0,-1 1 0,1-1 0,-1 1 0,1 0 0,-1-1 0,1 1 0,-1 0 0,1 0 0,-3 2 0,1-1 0,0 1 0,1 1 0,-1-1 0,0 0 0,1 0 0,0 1 0,-3 6 0,-1 4 0,1 0 0,1-1 0,-5 24 0,6-21 0,1 1 0,0-1 0,1 0 0,1 1 0,0-1 0,6 32 0,-5-44 0,0 1 0,0-1 0,1 0 0,0 1 0,-1-1 0,1 0 0,1 0 0,-1 0 0,1-1 0,-1 1 0,1-1 0,6 7 0,-6-8 0,0 0 0,0 0 0,1-1 0,-1 1 0,0-1 0,1 1 0,-1-1 0,1 0 0,-1 0 0,1-1 0,0 1 0,-1-1 0,1 0 0,0 0 0,-1 0 0,1 0 0,-1-1 0,6 0 0,2-2 0,0 0 0,-1-1 0,1-1 0,-1 1 0,1-2 0,-2 1 0,1-1 0,-1-1 0,1 0 0,-2 0 0,15-15 0,-1-2 0,-1 0 0,34-54 0,-33 39 0,-1-1 0,-2-1 0,-1-1 0,-3 0 0,-1-1 0,-3-1 0,-1 0 0,-2-1 0,-2 1 0,-2-1 0,-3-58 0,-1 93 0,-4-44 0,4 51 0,-1 0 0,0 0 0,1 0 0,-1 0 0,0 0 0,0 0 0,-1 0 0,1 0 0,-1 0 0,1 1 0,-1-1 0,0 1 0,-2-4 0,3 6 0,1-1 0,-1 1 0,1 0 0,-1-1 0,1 1 0,-1 0 0,0 0 0,1-1 0,-1 1 0,1 0 0,-1 0 0,0 0 0,1 0 0,-1 0 0,1 0 0,-1 0 0,0 0 0,1 0 0,-1 0 0,0 0 0,1 0 0,-1 0 0,1 0 0,-1 1 0,0-1 0,1 0 0,-1 0 0,1 1 0,-1-1 0,1 0 0,-1 1 0,1-1 0,-1 1 0,1-1 0,-1 1 0,1-1 0,0 1 0,-1-1 0,1 1 0,0-1 0,-1 1 0,1-1 0,0 1 0,0-1 0,-1 2 0,-12 31 0,4 14 0,1 0 0,3 0 0,1 82 0,2-75 0,0 198 0,10-1 0,63 387 0,-60-573 0,39 185 0,-42-227 0,-6-45 0,-27-368 0,8 195 0,9-205 0,10 354 0,15-80 0,-15 115 0,0 0 0,1 0 0,1 0 0,0 1 0,0-1 0,1 1 0,0 0 0,1 1 0,0-1 0,0 1 0,1 0 0,14-13 0,-19 20 0,-1 0 0,2 1 0,-1-1 0,0 0 0,0 1 0,0 0 0,1-1 0,-1 1 0,1 0 0,-1 0 0,1 1 0,-1-1 0,1 0 0,-1 1 0,1 0 0,0-1 0,-1 1 0,1 0 0,0 0 0,-1 1 0,1-1 0,3 1 0,-3 1 0,0-1 0,-1 0 0,1 1 0,-1 0 0,0-1 0,1 1 0,-1 0 0,0 0 0,0 1 0,0-1 0,0 0 0,-1 1 0,1-1 0,-1 1 0,1-1 0,-1 1 0,0 0 0,0-1 0,0 1 0,0 4 0,2 5 7,-1 0-1,0 0 0,-1 0 0,0 1 1,-1-1-1,0 1 0,-1-1 1,-1 0-1,0 0 0,0 1 1,-2-1-1,1-1 0,-1 1 0,-1 0 1,0-1-1,-1 0 0,0 0 1,-10 13-1,3-7-155,0 0 1,-1-1-1,-1-1 1,0 0-1,-1-1 1,-1-1-1,0-1 1,-1 0-1,-37 18 1,26-18-6678</inkml:trace>
  <inkml:trace contextRef="#ctx0" brushRef="#br0" timeOffset="7719.4">1545 4197 24575,'10'0'0,"1"-1"0,-1-1 0,1 0 0,-1 0 0,1-1 0,-1 0 0,0-1 0,0 0 0,0 0 0,-1-1 0,0-1 0,0 0 0,0 0 0,-1 0 0,1-1 0,-2-1 0,1 1 0,-1-1 0,13-18 0,-6 5 0,-1-1 0,0-1 0,-2 0 0,0 0 0,-2-1 0,-1 0 0,8-34 0,-12 33 0,0 0 0,-2-1 0,-1 1 0,-1 0 0,-1-1 0,-5-29 0,-5-7 0,-24-77 0,24 102 0,-1 0 0,-29-57 0,39 91 0,1 0 0,-1 0 0,0 1 0,0-1 0,0 0 0,0 1 0,0-1 0,-1 1 0,-2-3 0,4 5 0,1 0 0,-1-1 0,1 1 0,-1 0 0,1 0 0,0 0 0,-1-1 0,0 1 0,1 0 0,-1 0 0,1 0 0,-1 0 0,1 0 0,-1 0 0,1 0 0,-1 0 0,1 0 0,-1 0 0,1 0 0,-1 1 0,1-1 0,-1 0 0,1 0 0,-1 0 0,1 1 0,-1-1 0,1 0 0,0 0 0,-1 1 0,1-1 0,-1 0 0,1 1 0,-1 0 0,-2 4 0,1 0 0,0 0 0,0 0 0,0 0 0,0 1 0,1-1 0,0 1 0,0-1 0,-1 9 0,-2 33 0,2 0 0,2 1 0,2-1 0,3 1 0,1-1 0,2 0 0,17 53 0,-22-90 0,1 1 0,0 0 0,1-1 0,0 0 0,0 0 0,1 0 0,0-1 0,1 0 0,0 0 0,0-1 0,16 14 0,-15-16 0,0 0 0,1-1 0,-1 0 0,1-1 0,0 0 0,1 0 0,-1-1 0,1 0 0,-1-1 0,1 0 0,0 0 0,0-1 0,14 0 0,0-2 0,-1-1 0,1 0 0,0-2 0,-1-1 0,0 0 0,35-14 0,-23 4 0,-1 0 0,-1-2 0,46-31 0,-72 43 0,0 0 0,0 0 0,0-1 0,-1 0 0,0 0 0,0-1 0,8-11 0,-12 16 0,-1 0 0,0 0 0,0 0 0,0-1 0,-1 1 0,1 0 0,0-1 0,-1 1 0,1 0 0,-1-1 0,0 1 0,0-1 0,0 1 0,0 0 0,-1-1 0,1 1 0,0-1 0,-1 1 0,0 0 0,1-1 0,-1 1 0,0 0 0,0 0 0,-1 0 0,1 0 0,0 0 0,-1 0 0,1 0 0,-1 0 0,1 0 0,-3-1 0,-59-56 0,56 53 0,0 1 0,0 0 0,0 1 0,-1-1 0,0 2 0,1-1 0,-17-4 0,21 7 0,0 1 0,0 0 0,-1-1 0,1 1 0,0 1 0,0-1 0,0 0 0,0 1 0,0 0 0,0 0 0,0-1 0,1 2 0,-1-1 0,0 0 0,0 1 0,1-1 0,-1 1 0,1 0 0,-1 0 0,1 0 0,0 0 0,0 0 0,0 0 0,0 1 0,0-1 0,0 1 0,0-1 0,1 1 0,0 0 0,-2 2 0,-3 8 0,1 0 0,0 1 0,1-1 0,0 1 0,-2 14 0,2-6 0,1 1 0,1-1 0,1 33 0,2-48 0,-1-1 0,1 1 0,1-1 0,-1 1 0,1-1 0,0 0 0,4 8 0,-5-12 0,1 1 0,0 0 0,-1 0 0,1-1 0,1 1 0,-1-1 0,0 0 0,0 0 0,1 1 0,0-1 0,-1-1 0,1 1 0,0 0 0,0-1 0,4 2 0,-3-1 0,0-1 0,0 0 0,0-1 0,0 1 0,0-1 0,1 1 0,-1-1 0,0-1 0,0 1 0,0 0 0,1-1 0,-1 0 0,0 0 0,0 0 0,0-1 0,0 1 0,-1-1 0,1 0 0,0 0 0,-1 0 0,1-1 0,-1 1 0,0-1 0,0 0 0,0 0 0,4-4 0,0-1 0,-1 0 0,-1 0 0,1 0 0,-1-1 0,-1 0 0,1 0 0,-1 0 0,-1 0 0,0 0 0,2-12 0,2-71 0,-7 100 0,-1 0 0,1 1 0,1-1 0,-1 1 0,2-1 0,-1 1 0,1-1 0,0 0 0,1 0 0,0 0 0,0 0 0,1-1 0,0 1 0,0-1 0,1 0 0,0 0 0,0 0 0,0-1 0,1 1 0,10 7 0,-7-6 0,1-1 0,0-1 0,0 0 0,1 0 0,-1-1 0,1-1 0,0 1 0,0-2 0,1 0 0,-1 0 0,1-1 0,0 0 0,0-1 0,18 0 0,-11-3-105,1 0 0,-1-2 0,1 0 0,-1-1 0,0-1 0,-1-1 0,0-1 0,0 0 0,0-1 0,-1-1 0,0-1 0,29-24 0,-5-1-6721</inkml:trace>
  <inkml:trace contextRef="#ctx0" brushRef="#br0" timeOffset="8186.42">2731 3583 24575,'9'-13'0,"3"-3"0,-12 16 0,0-1 0,1 1 0,-1 0 0,0-1 0,0 1 0,0 0 0,0-1 0,1 1 0,-1-1 0,0 1 0,0 0 0,0-1 0,0 1 0,0-1 0,0 1 0,0 0 0,0-1 0,0 1 0,0 0 0,-1-1 0,1 1 0,0-1 0,0 1 0,0 0 0,0-1 0,0 1 0,-1 0 0,1-1 0,0 1 0,0 0 0,-1-1 0,1 1 0,0 0 0,0 0 0,-1-1 0,0 1 0,0 0 0,1-1 0,-1 1 0,0 0 0,0 0 0,0 0 0,0 0 0,0 0 0,0 0 0,0 0 0,1 0 0,-1 0 0,0 1 0,0-1 0,0 0 0,0 1 0,1-1 0,-1 0 0,0 1 0,0-1 0,0 1 0,1-1 0,-2 2 0,-17 14 0,5-1 0,2 1 0,-1 0 0,2 1 0,0 0 0,2 1 0,-1 0 0,2 1 0,1-1 0,0 2 0,1-1 0,-4 24 0,10-39 0,-1 1 0,1-1 0,0 0 0,0 1 0,1-1 0,-1 0 0,1 0 0,0 1 0,0-1 0,0 0 0,0 0 0,1 0 0,0 0 0,0 0 0,0-1 0,0 1 0,1 0 0,-1-1 0,1 0 0,0 1 0,0-1 0,0 0 0,0-1 0,1 1 0,-1 0 0,1-1 0,-1 0 0,1 0 0,0 0 0,0 0 0,0-1 0,0 1 0,7 0 0,-2 1 0,1-1 0,0-1 0,-1 0 0,1 0 0,0 0 0,0-2 0,0 1 0,0-1 0,-1 0 0,1-1 0,0 0 0,-1-1 0,15-6 0,-13 3 0,-1-1 0,0 0 0,0 0 0,0-1 0,-1 0 0,-1-1 0,1 0 0,-1 0 0,-1-1 0,0 0 0,0-1 0,-1 1 0,0-1 0,-1 0 0,0-1 0,-1 1 0,0-1 0,-1 0 0,0 0 0,-1 0 0,-1 0 0,0 0 0,0 0 0,-1-1 0,-2-18 0,1 28 0,1 1 0,-1-1 0,1 1 0,-1 0 0,0-1 0,0 1 0,0 0 0,0 0 0,0 0 0,-2-3 0,2 4 0,1 0 0,-1 1 0,1-1 0,-1 1 0,0-1 0,1 1 0,-1-1 0,0 1 0,1 0 0,-1-1 0,0 1 0,0 0 0,1-1 0,-1 1 0,0 0 0,0 0 0,1 0 0,-1 0 0,0 0 0,0 0 0,-1 0 0,0 0 0,0 1 0,0 0 0,0 0 0,0 0 0,0 0 0,0 1 0,0-1 0,0 1 0,0-1 0,1 1 0,-1-1 0,1 1 0,-1 0 0,1 0 0,0 0 0,0 0 0,-1 0 0,1 0 0,1 0 0,-2 3 0,-1 2 0,0 1 0,1-1 0,0 1 0,1 0 0,0 0 0,0 0 0,1-1 0,-1 1 0,2 0 0,-1 0 0,1 0 0,0 0 0,1-1 0,0 1 0,0 0 0,1-1 0,0 0 0,4 8 0,-4-9 0,0-1 0,1 0 0,-1 0 0,1 0 0,0 0 0,1-1 0,-1 1 0,1-1 0,0 0 0,0-1 0,0 1 0,0-1 0,1 0 0,-1 0 0,1-1 0,0 0 0,0 0 0,0 0 0,0 0 0,0-1 0,0 0 0,0-1 0,12 1 0,3-4-170,0 0-1,0-1 0,0-2 1,-1 0-1,0-1 0,0-1 1,33-18-1,8-7-6655</inkml:trace>
  <inkml:trace contextRef="#ctx0" brushRef="#br0" timeOffset="8687.32">3323 3604 24575,'29'-1'0,"0"-2"0,0 0 0,0-3 0,-1 0 0,44-16 0,132-64 0,-181 75 0,121-61 0,-121 59 0,0-1 0,-1-1 0,38-36 0,-56 48 0,-1 0 0,1 0 0,-1-1 0,0 1 0,0-1 0,0 0 0,-1 0 0,1 0 0,-1 0 0,0 0 0,0 0 0,-1-1 0,1 1 0,-1-1 0,0 1 0,0-1 0,-1 0 0,1 1 0,-1-1 0,0 0 0,0 1 0,0-1 0,-1 1 0,0-1 0,0 0 0,0 1 0,0-1 0,-1 1 0,0 0 0,0-1 0,0 1 0,0 0 0,0 0 0,-1 0 0,0 1 0,0-1 0,0 1 0,0-1 0,-5-2 0,20 19 15,-2 1 0,0 0 0,0 1 0,-2 0 0,0 0 0,0 1 0,8 27 0,-10-27-164,-1 0 1,-1 0-1,-1 1 1,0-1-1,-1 0 1,-1 1-1,-1 0 1,0-1-1,-4 32 1,-9 0-6678</inkml:trace>
  <inkml:trace contextRef="#ctx0" brushRef="#br0" timeOffset="9611.34">4805 2652 24575,'-1'-12'0,"1"0"0,-2 0 0,1 0 0,-2 0 0,1 0 0,-10-23 0,11 32 0,0 0 0,0 1 0,0-1 0,0 0 0,-1 1 0,1-1 0,-1 1 0,0 0 0,0-1 0,0 1 0,0 0 0,0 0 0,0 0 0,-1 1 0,1-1 0,0 0 0,-1 1 0,1-1 0,-1 1 0,0 0 0,0 0 0,1 0 0,-1 0 0,0 1 0,0-1 0,0 1 0,0 0 0,0-1 0,0 1 0,1 1 0,-1-1 0,0 0 0,0 1 0,-5 1 0,3 0 0,0 0 0,0 0 0,0 1 0,1 0 0,-1 0 0,1 0 0,0 0 0,0 1 0,0-1 0,0 1 0,0 0 0,1 1 0,0-1 0,-5 9 0,-2 5 0,1 1 0,-11 32 0,9-17 0,2 2 0,1 0 0,2 0 0,1 0 0,2 0 0,1 1 0,7 69 0,0-65 0,1-1 0,2 1 0,2-2 0,2 0 0,1 0 0,34 68 0,-39-93 0,0 0 0,1 0 0,0-1 0,1 0 0,0-1 0,1 0 0,1-1 0,0 0 0,0 0 0,26 14 0,-31-20 0,1-1 0,0-1 0,-1 0 0,2 0 0,-1 0 0,0-1 0,0-1 0,1 1 0,-1-1 0,1-1 0,-1 1 0,1-1 0,0-1 0,-1 0 0,1 0 0,-1-1 0,0 1 0,0-2 0,1 1 0,-1-2 0,14-6 0,-10 3 0,0 0 0,0-1 0,-1 0 0,0-1 0,0-1 0,-1 1 0,0-2 0,-1 1 0,13-20 0,-11 12 0,-1 0 0,0-1 0,-2 0 0,0-1 0,9-36 0,-7 2 0,-2 0 0,-2-1 0,-3 1 0,-4-61 0,0 90 0,1-8 0,-2 0 0,0 0 0,-13-53 0,14 123 0,5 7-273,3-2 0,1 1 0,3-1 0,22 60 0,-8-44-6553</inkml:trace>
  <inkml:trace contextRef="#ctx0" brushRef="#br0" timeOffset="10293.56">4953 3181 24575,'13'0'0,"0"-2"0,0 1 0,0-2 0,-1 0 0,1 0 0,0-1 0,12-7 0,83-45 0,-99 51 0,47-27 0,92-71 0,-131 90 0,0-1 0,-2-1 0,0-1 0,0 0 0,-2-1 0,0 0 0,-1-1 0,0-1 0,10-25 0,-21 42 0,0-1 0,0 1 0,0-1 0,0 0 0,0 1 0,-1-1 0,1 0 0,-1 0 0,0 0 0,0 1 0,0-1 0,0 0 0,0 0 0,-1 0 0,1 1 0,-1-1 0,0 0 0,0 0 0,0 1 0,0-1 0,0 1 0,-3-5 0,2 5 0,0 1 0,1 0 0,-1 0 0,0-1 0,0 1 0,0 0 0,1 1 0,-1-1 0,0 0 0,0 0 0,0 1 0,-1 0 0,1-1 0,0 1 0,0 0 0,0 0 0,0 0 0,0 0 0,0 0 0,0 0 0,0 1 0,0-1 0,0 1 0,0-1 0,0 1 0,0 0 0,0 0 0,0 0 0,0 0 0,0 0 0,-1 2 0,-5 2 0,1 0 0,0 0 0,0 1 0,0 0 0,1 0 0,0 1 0,-8 10 0,12-14 0,0-1 0,0 1 0,1 0 0,-1-1 0,0 1 0,1 0 0,0 0 0,0 0 0,0 0 0,0 0 0,0 0 0,0 1 0,1-1 0,0 0 0,0 0 0,0 1 0,0-1 0,0 0 0,0 0 0,1 0 0,0 1 0,-1-1 0,3 5 0,-1-5 0,0-1 0,0 1 0,1-1 0,-1 0 0,0 0 0,1 0 0,-1 0 0,1 0 0,0-1 0,-1 1 0,1-1 0,0 0 0,0 0 0,0 0 0,0 0 0,0 0 0,6 0 0,58 3 0,-55-3 0,3-2 0,-1 0 0,1 0 0,-1-1 0,0-1 0,0-1 0,0 0 0,0 0 0,0-2 0,-1 1 0,13-9 0,-25 14 0,-1-1 0,0 1 0,1 0 0,-1 0 0,0 0 0,1 0 0,-1 0 0,0 0 0,1 0 0,-1 0 0,1 0 0,-1 0 0,0 1 0,1-1 0,-1 0 0,0 0 0,1 0 0,-1 0 0,0 0 0,0 1 0,1-1 0,-1 0 0,0 0 0,1 0 0,-1 1 0,0-1 0,0 0 0,1 0 0,-1 1 0,0-1 0,0 0 0,0 1 0,0-1 0,1 0 0,-1 1 0,0-1 0,0 0 0,0 1 0,0-1 0,0 0 0,0 1 0,0-1 0,0 0 0,0 1 0,0-1 0,0 1 0,0-1 0,0 0 0,0 1 0,0-1 0,-1 1 0,1 24 0,-1-22 0,0 9 0,0 0 0,1 0 0,1 0 0,-1-1 0,2 1 0,0 0 0,3 13 0,-3-21 0,0 1 0,0 0 0,1-1 0,0 1 0,-1-1 0,1 0 0,1 0 0,-1 0 0,1 0 0,-1-1 0,1 1 0,0-1 0,0 0 0,0 0 0,1-1 0,-1 1 0,1-1 0,0 0 0,6 2 0,-5-1 0,-1-1 0,1 0 0,0-1 0,0 0 0,0 1 0,0-2 0,0 1 0,0-1 0,0 0 0,0 0 0,0-1 0,0 1 0,0-2 0,0 1 0,0 0 0,0-1 0,-1 0 0,1-1 0,0 1 0,-1-1 0,0 0 0,0 0 0,0-1 0,0 1 0,0-1 0,-1 0 0,1-1 0,-1 1 0,0-1 0,-1 0 0,1 0 0,3-8 0,6-8 0,-2-1 0,-1-1 0,0 1 0,-2-2 0,-1 1 0,0-1 0,-2 0 0,2-27 0,-2 1 0,-3-1 0,-7-96 0,3 124 0,-1 1 0,-1 0 0,-2 0 0,0 0 0,-13-30 0,18 49 0,0-1 0,-1 1 0,1 0 0,-1 0 0,0 0 0,0 1 0,0-1 0,0 0 0,-1 1 0,1-1 0,-1 1 0,1 0 0,-1 0 0,0 0 0,0 0 0,0 0 0,-5-2 0,6 4 0,-1 0 0,1 0 0,0 0 0,0 0 0,-1 0 0,1 0 0,0 1 0,0-1 0,-1 1 0,1 0 0,0-1 0,0 1 0,0 0 0,0 0 0,0 1 0,0-1 0,0 0 0,0 1 0,1-1 0,-1 1 0,0-1 0,1 1 0,-1 0 0,1 0 0,0 0 0,-2 3 0,-5 8 0,0 0 0,2 1 0,0 0 0,0 0 0,1 0 0,1 0 0,0 1 0,1 0 0,-1 23 0,1-5 0,3 1 0,0-1 0,7 42 0,-5-57 0,1 0 0,1-1 0,1 0 0,1 0 0,0 0 0,1-1 0,0 1 0,14 20 0,-16-29 0,1-1 0,-1 0 0,1 0 0,0-1 0,1 1 0,0-1 0,0-1 0,0 1 0,0-1 0,1 0 0,0-1 0,0 0 0,0 0 0,1-1 0,-1 0 0,1 0 0,0-1 0,12 1 0,-9-2-170,1-1-1,0 0 0,0-1 1,0 0-1,0-2 0,0 1 1,18-7-1,21-10-6655</inkml:trace>
  <inkml:trace contextRef="#ctx0" brushRef="#br0" timeOffset="10498.83">6329 2694 24575,'7'0'0,"6"0"0,12-10 0,12-12 0,11-8 0,7 0 0,3-5 0,-2 3 0,-11 4 0,-13 6-8191</inkml:trace>
  <inkml:trace contextRef="#ctx0" brushRef="#br0" timeOffset="10713.83">6456 2313 24575,'0'8'0,"3"5"0,2 12 0,-1 15 0,7 17 0,2 11 0,-2 14 0,-3 2 0,5-1 0,-1-8 0,6-17 0,3-15 0,5-14 0,-1-12-8191</inkml:trace>
  <inkml:trace contextRef="#ctx0" brushRef="#br0" timeOffset="10996.84">6922 2059 24575,'2'-26'0,"2"20"0,3 19 0,6 32 0,-3 0 0,7 57 0,-5-22 0,55 358 0,-63-412 0,12 37 0,-13-55 0,0 0 0,1 0 0,-1 0 0,1-1 0,1 1 0,0-1 0,0 0 0,6 7 0,-10-13-36,0 0 0,-1 0 0,1 0 1,0 0-1,-1 0 0,1 0 0,0-1 0,0 1 0,0 0 0,0 0 0,0-1 0,0 1 0,0-1 0,0 1 0,0-1 0,0 1 0,0-1 1,0 1-1,0-1 0,0 0 0,0 0 0,1 0 0,-1 0 0,0 0 0,0 0 0,0 0 0,0 0 0,1 0 0,-1 0 0,0 0 0,0-1 1,0 1-1,0-1 0,0 1 0,0-1 0,0 1 0,2-2 0,9-14-6790</inkml:trace>
  <inkml:trace contextRef="#ctx0" brushRef="#br0" timeOffset="11343.79">6943 2652 24575,'18'-1'0,"0"-1"0,1 0 0,-1-2 0,0 0 0,0-1 0,-1-1 0,0-1 0,0 0 0,0-1 0,-1-1 0,0-1 0,-1 0 0,0-1 0,0 0 0,-1-2 0,17-19 0,-20 18 0,-1-1 0,0-1 0,-2 1 0,0-2 0,0 1 0,-2-1 0,0 0 0,-1 0 0,-1-1 0,3-21 0,-3 5 0,-1-2 0,-2 1 0,-1 0 0,-6-42 0,-3 26 0,8 49 0,1-1 0,-1 1 0,0 0 0,0 0 0,0 0 0,0-1 0,0 1 0,0 0 0,0 1 0,-1-1 0,1 0 0,-1 0 0,1 0 0,-1 1 0,0-1 0,0 1 0,-3-3 0,4 4 0,0 0 0,0 0 0,0 0 0,0 0 0,0 0 0,-1 0 0,1 0 0,0 0 0,0 0 0,0 0 0,0 1 0,0-1 0,0 0 0,0 1 0,0-1 0,0 1 0,0-1 0,1 1 0,-1-1 0,0 1 0,0 0 0,0-1 0,1 1 0,-1 0 0,0 0 0,1 0 0,-1 0 0,0-1 0,1 1 0,-1 0 0,1 0 0,0 0 0,-1 2 0,-14 38 0,15-41 0,-8 34 0,1 1 0,2 0 0,1 0 0,2 0 0,5 63 0,1-54 0,2 0 0,2-1 0,2 0 0,19 53 0,-20-72-273,1 1 0,2-2 0,0 0 0,30 43 0,-21-40-6553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20.31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24575,'-1'0'-8191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33.06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8:03.34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19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6666 3520 8192,'-7'0'18022,"17"-5"-18022,19-11 0,27-13 0,21-13 0,12-7 0,1 0 0,-11 8 0,-17 4 0,-20 8 0</inkml:trace>
  <inkml:trace contextRef="#ctx0" brushRef="#br0" timeOffset="217.67">6854 3149 8192,'5'0'11332,"6"0"-11332,4 2 0,5 9 6690,-2 7-6690,4 9 0,-2 12 0,1 6 0,-4 8 0,3-2 0,-1-6 0,5-12 0,3-10 0,-3-11 0</inkml:trace>
  <inkml:trace contextRef="#ctx0" brushRef="#br0" timeOffset="513.02">7346 3020 8192,'3'-10'13198,"-2"9"-12727,-1 1-230,1 0 1,0 1-1,0-1 0,-1 0 1,0 0-1,1 0 0,0 0 1,-1 0-1,1 1 1,0-1-1,-1 0 0,0 1 1,1-1-1,0 0 0,-1 1 1,0-1-1,1 1 0,18 23-232,13 34-269,-11-17 490,50 72 0,-63-102-602,0-1-1,0 0 1,1-1-1,1 0 1,-1 0-1,2-1 0,0-1 1,0 1-1,-1-2 1,2 0-1,18 8 1,-24-12-96,-1 0 1,1-1 0,0 1-1,-1-2 1,1 1-1,0 0 1,-1-1 0,1 0-1,0 0 1,-1-1-1,1 0 1,-1 0-1,1 0 1,0-1 0,-1 0-1,1 0 1,-1 0-1,0 0 1,7-5 0,-6 3 144,1-1 0,-1 0 0,0-1-1,0 0 1,0 0 0,-1 0 0,0-1 0,0 0 0,-1 1 0,0-2 0,0 1 0,5-15 0,-4 9 310,-2-1 0,0 0 0,-1 0 0,0-1 0,0 1 0,-1 0 0,-1 0-1,-1-1 1,-1 1 0,0 0 0,0-1 0,-2 1 0,1 1 0,-2-1 0,0 1 0,-6-13 0,3 11 14,1 0 0,-2 1 1,1 0-1,-3 1 0,2 1 1,-2-1-1,-1 1 0,1 0 0,-2 1 1,1 1-1,-2 0 0,1 1 0,-26-13 1,-11 3-2</inkml:trace>
  <inkml:trace contextRef="#ctx0" brushRef="#br0" timeOffset="-4342.98">4454 1137 8192,'-1'-25'10077,"0"-1"-4172,-8-22-2737,7 40-3262,0 1 0,0-1 0,-2 2 0,2-1 0,-3 0 0,2 0 0,-1 1 0,-1 0 0,0 0 0,1-1 0,-9-5 0,7 7 94,0 0 0,0-1 0,-1 1 0,-1 1 0,2 0 0,-14-6 0,18 9 0,-1 0 0,1 0 0,-1 0 0,1 1 0,0 0 0,-1-1 0,1 1 0,0-1 0,-1 1 0,1 0 0,-1 1 0,1-1 0,-1 1 0,1-1 0,0 0 0,-1 1 0,1 0 0,0-1 0,0 2 0,0-2 0,-1 2 0,1-1 0,0 0 0,0 1 0,0-1 0,0 0 0,-2 4 0,0 0-31,0-1 0,1 2 1,-1-1-1,1 1 0,1-1 1,-1 1-1,0 0 1,1 0-1,-1 9 0,-2 7-968,-1 30-1,5-47 830,-4 56-3278,6 104-1,2-130 1927,2-1 0,0 0-1,3 0 1,17 50 0,-20-70 1414,1-1 0,1 0 1,-1-1-1,2 0 1,0 0-1,1-1 0,0 0 1,0 0-1,22 18 1,-26-25 108,0-1 1,0 1-1,1 0 1,-1-1-1,1 0 1,-1 0-1,1-1 1,0 0-1,0 0 1,0 0-1,0-1 1,0 0-1,0 0 1,1 0 0,-1-1-1,1 0 1,-1 0-1,1 0 1,-1-1-1,0 0 1,0-1-1,0 1 1,0-1-1,11-4 1,-10 1-2,1 0 0,0 1 0,-1-2 0,0 0 0,0 0 0,0 0 0,-1-1 0,0 1 0,0-2 0,-1 1 0,0-1 0,0 0 0,0 1 0,-2-2 0,4-8 0,1-5 0,0 0 0,-2 0 0,-2-1 0,5-40 0,-7 28-17,-2 1 1,0-2-1,-9-40 1,3 39 3486,-7-3 10909,11 57-14700,3 43-2680,2 2-1,4-2 0,2 1 0,18 60 1,12 14 940,-34-120 2005,1-1 0,1 0 0,1 0-1,-1 0 1,2-1 0,18 22 0,-2-14 56,-5-11 0</inkml:trace>
  <inkml:trace contextRef="#ctx0" brushRef="#br0" timeOffset="-3652.97">4555 1608 8192,'45'-4'11379,"-1"-6"-5749,-28 4-5465,0 0-1,-1-1 0,22-13 1,-19 7-2023,0 1 1,-1-1 0,30-31-1,-13 4 1382,-26 29 1340,-1 1-1,0-1 0,5-13 1,-10 21-544,1 0 1,-2-1-1,0 0 1,0 1-1,0-1 0,0 0 1,0 0-1,-1 0 1,0 1-1,1-1 1,-1 0-1,0 0 1,-1 0-1,0-4 1,1 7-350,-1 0 0,1 0 0,0 0 0,-1 1 0,0-2 0,1 2 0,-1-1 0,0 0 0,1 1 0,-1-1 0,0 0 0,0 0 0,1 1 0,-2-1 1,2 0-1,-1 1 0,0-1 0,0 1 0,0-1 0,0 1 0,0 0 0,0 0 0,0-1 0,0 1 0,0 0 0,0 0 0,-1 0 0,2 0 0,-2 0 0,2 0 1,-2 0-1,2 0 0,-2 1 0,2-1 0,-2 0 0,2 0 0,-3 2 0,-1-1-327,0 1 0,0 0 1,0-1-1,0 1 0,1 1 0,-1-1 1,-6 6-1,7-5-186,-1 0 0,1 1 0,1 1 0,-1-2 0,0 1 0,0 1 0,1-1-1,0 0 1,1 0 0,-1 1 0,1-1 0,0 1 0,0 0 0,0-1 0,0 1 0,1 5 0,0-7 628,0 0 1,1-1-1,-1 1 1,1 0-1,-1 0 1,1 0-1,0-1 0,0 0 1,0 1-1,1 0 1,-1 0-1,2 1 1,-1-2 367,0 0 0,0 0 0,0 0 0,1 0 0,-1 0 0,0 0 0,1 0 0,-1-1 0,1 0 0,-1 1 0,1-1 0,0 0 0,4 1 0,1 0 882,1-1 1,0 1 0,10 0-1,4-2-1245,22-4 0,-1 1 62,-43 3-153,0 0 0,-1 0 0,0 0 0,1 0 0,0 0 0,-1 1 0,1-1 0,0 0 0,-1 0 0,0 0 0,1 0 0,0 0 0,-1 1 0,1-1 0,-1 0 0,1 1 0,-1-1 0,0 0 0,1 1 0,0-1 0,-1 1 0,0-1 0,0 0 0,1 1 0,-1 0 0,1-1 0,-1 0 0,1 1 0,-1 0 0,0-1 0,0 0 0,0 1 0,0 0 0,0-1 0,0 1 0,0 0 0,1-1 0,-1 0 0,0 1 0,-1 0 0,1 0 0,0 4 0,0 1 0,-2-1 0,-2 11 0,0 2 0,4-15-227,-1 1 0,1-1 0,0 0 0,0 1 0,1 0 0,0-1 1,-1 1-1,1-1 0,0 0 0,0 1 0,0-1 0,1 0 1,-1 1-1,1-2 0,0 2 0,0-1 0,0 0 0,0 0 0,0-1 1,5 5-1,-3-5-308,-2 0 1,2 0 0,-1 0-1,1-1 1,0 1 0,-1-1-1,1 1 1,0-2 0,-1 2 0,1-2-1,0 0 1,0 1 0,-1-1-1,1 0 1,0 0 0,0-1-1,0 1 1,-1 0 0,8-3-1,-1-1 315,1 0 0,0 0 0,0-1 0,-1 0 0,-1-1 0,1-1 0,0 1 0,-2-2 0,1 1 0,0 0 0,9-13 0,-6 6 230,0-1 0,-1-1 0,-1 0-1,0 0 1,-2-1 0,9-19 0,-12 23-10,-1 1 0,1-1 0,-3 0 0,1 0 0,-1-1 0,-1 1 0,1 0 0,-2 0 0,-1-1 0,0 1 0,0-1 0,-1 1 0,-1 0 0,0 0 0,-1 0 0,0 0 0,-7-11 0,10 21 0,0 1 0,0 0 0,0-1 0,-1 1 0,0 0 0,1 0 0,-1 0 0,0 0 0,0 0 0,0 1 0,0-1 0,0 0 0,-1 1 0,1 0 0,-3-2 0,4 3 0,1-1 0,-2 1 0,2 0 0,-1 0 0,-1 0 0,2 0 0,-2 0 0,2 0 0,-1 0 0,0 0 0,0 1 0,0-1 0,0 0 0,0 1 0,1-1 0,-1 0 0,-2 2 0,1-1 0,1 0 0,-1 1 0,0-1 0,1 1 0,-1-1 0,1 1 0,-1 0 0,2 0 0,-2 0 0,0 2 0,-3 7 0,1-1 0,-1 0 0,2 2 0,0-1 0,-3 22 0,-1 60 0,7-71 0,0 0 0,2-2 0,0 2 0,0 0 0,3-2 0,0 1 0,12 31 0,-13-42 0,0 0 0,1-1 0,1 0 0,-1 0 0,1 0 0,0-1 0,1 0 0,1 0 0,-1-1 0,1 0 0,0 0 0,0-1 0,1 0 0,0 0 0,0-1 0,0 0 0,15 6 0,-11-7 0,0-1 0,0 0 0,0-1 0,0 0 0,0-1 0,1 0 0,-1-1 0,17-2 0,35-8 0</inkml:trace>
  <inkml:trace contextRef="#ctx0" brushRef="#br0" timeOffset="-3405.27">5784 1408 8192,'2'0'18022,"9"0"-18022,9 0 0,12 0 0,14-6 0,12-5 0,7-7 0,1-3-2971,-5 1 2971,-11 4-5849,-14-1 5849,-12 3-7957</inkml:trace>
  <inkml:trace contextRef="#ctx0" brushRef="#br0" timeOffset="-3170.36">5957 1109 8192,'0'3'2971,"2"0"-2971,2 5 0,-1 8 5848,7 11 2109,1 11-7957,0 11 0,2 7-2971,-1 3 2971,3-1-5849,3-5 5849,4-12 2971,2-13-2971,-1-11 0</inkml:trace>
  <inkml:trace contextRef="#ctx0" brushRef="#br0" timeOffset="-2246.58">6796 767 8192,'-13'4'15812,"6"9"-12159,1 18-6171,6-27 3593,-5 267-1075,7-174 0,-2-78 1284,0 4-10703,1-45-468,-2-93 9887,2-140 0,0 227 0,1 1 0,1 0 0,2 0 0,7-29 0,-9 46 0,1 1 0,0 0 0,0 0 0,1 0 0,0 0 0,8-10 0,-9 14 0,0 1 0,0 0 0,0 0 0,1 0 0,-1 0 0,1 1 0,0-1 0,0 1 0,1 0 0,-1 1 0,10-4 0,-12 5 0,1 0 0,-1 0 0,0 0 0,1 1 0,-1-1 0,1 1 0,0 0 0,-1 0 0,1 0 0,0 1 0,-1-1 0,1 0 0,-1 2 0,0-2 0,1 2 0,-1-1 0,1 0 0,-1 1 0,0-1 0,0 1 0,0 0 0,0 0 0,0 0 0,0 1 0,0-1 0,-1 1 0,0-1 0,0 1 0,4 5 0,-3-4 0,-1 1 0,0 0 0,0-1 0,0 1 0,1 0 0,-2-1 0,0 2 0,0-2 0,0 2 0,-1-1 0,1 0 0,-1 0 0,0 0 0,0 0 0,-1 0 0,1 1 0,-2-1 0,1 0 0,0-1 0,-3 7 0,-8 13 934,-1-1-1,-19 27 1,7-13 5720,23-34-5817,1 0 0,-1-1 0,1 1-1,0 0 1,-1 0 0,2 0-1,-2 0 1,1 4 0,1-6-805,0-1 1,0 2-1,0-2 0,0 1 1,0 0-1,0 0 0,0 0 1,1 0-1,-1 0 1,1-1-1,-1 1 0,1 0 1,-1 0-1,0 0 0,1-1 1,0 1-1,-1 0 1,1-1-1,0 1 0,-1 0 1,1 0-1,0-1 0,-1 0 1,1 1-1,0 0 0,0-1 1,0 0-1,-1 0 1,1 1-1,1-1 0,0 1 1,9 1-33,-1 0 0,1 0 0,0-2 0,0 1 0,0-1 0,14-1 0,-9 0 0,1 1 0,20 2 0,-32-1 0,0-1 0,-1 2 0,1-1 0,-1 0 0,0 1 0,1 0 0,-1 0 0,0 0 0,0 0 0,0 0 0,0 1 0,5 5 0,-8-7 1,1 1 0,0-1 1,-1 1-1,0 0 0,1 0 0,-1-1 1,0 1-1,0 0 0,0 0 1,0 0-1,0 0 0,0 0 0,-1 0 1,0 0-1,1 0 0,0 0 1,-1 1-1,0-1 0,0 0 1,0 0-1,0 0 0,-1 1 0,1-1 1,-1 0-1,1 0 0,0 0 1,-1 0-1,0 0 0,0 0 1,0 0-1,0 0 0,-1 0 0,2-1 1,-2 1-1,1 0 0,-4 2 1,-2 4-89,0-1 0,-1-1 0,1 0 1,-1 0-1,-1 1 0,-15 6 0,-1 0-1585,-1 0-1,-1-3 0,0 0 1,0-1-1,-55 10 1,77-18 1116,0-1 0,0 0 0,0 0 0,0 0 1,0 0-1,0-1 0,0 0 0,1 0 1,-1 0-1,0-1 0,0 0 0,-5-2 1,-11-11 353</inkml:trace>
  <inkml:trace contextRef="#ctx0" brushRef="#br0" timeOffset="-1500.67">6160 2350 8192,'-4'6'8819,"15"-3"-8819,18-3 7350,21-6-7350,17-8-3356,4 0 3356,-4-6-5996,-10-5-821,-14 4 6817</inkml:trace>
  <inkml:trace contextRef="#ctx0" brushRef="#br0" timeOffset="-1295.98">6363 2036 8192,'-1'5'11332,"6"9"-4642,1 11-6690,6 14 0,0 13 0,7 9-3356,6 4 3356,4-4-5484,-1-7 5484,3-14-7956,-5-13 7956</inkml:trace>
  <inkml:trace contextRef="#ctx0" brushRef="#br0" timeOffset="-734.07">7085 1922 8192,'1'24'12586,"1"-1"-6848,1-7-5798,0-1-1,1 0 1,0 0-1,14 26 1,-1-3 60,23 51 0,-35-73 0,1-1 0,-2 1 0,5 30 0,-9-44-23,1-1-1,-1 1 1,0 0 0,0-1 0,0 1 0,0 0 0,-1 0 0,1-1 0,-1 1 0,1-1 0,-1 1 0,1 0 0,-1-1 0,0 1-1,1 0 1,-2-1 0,2 0 0,-1 1 0,0-1 0,-1 0 0,2 1 0,-2-1 0,1 0 0,-1 1 0,1-2 0,-2 2 0,-1 0 29,1 0 0,-1-1 1,0 0-1,0 1 0,0-2 1,0 1-1,0 0 1,0-1-1,-6 0 0,26 0 100,1-2 1,32-6-1,-32 4-1138,-1-1 1,31-14 0,-33 12-183,-2 1 1,1-2-1,-1 0 1,0-1-1,0 1 1,-1-2-1,0 0 1,-2-1-1,18-21 1,-3-11-113,-7 4 1326</inkml:trace>
  <inkml:trace contextRef="#ctx0" brushRef="#br0" timeOffset="-576.25">6652 2007 8192,'4'0'2971,"8"0"2877,13-4-5848,15-8 0,18-7 7957,18-12-7957,14-4-2971,1 3 2971,-6 0-5849,-20 5 5849</inkml:trace>
  <inkml:trace contextRef="#ctx0" brushRef="#br0" timeOffset="1602.43">4497 2735 8192,'-4'-39'13101,"2"31"-11920,1-1-1,-1 1 1,-5-11 0,6 16-1146,-1 0 0,0-1 0,0 1 0,0 0 1,0 0-1,-1 0 0,1 0 0,-5-5 0,5 7-42,0 0 0,0-1 0,0 1 0,1 0 0,-1 0 0,0 0 0,0 1 0,0-2 0,-1 2 0,1 0 0,0-1 0,0 1 0,0-1 1,-1 1-1,1 0 0,-3 0 0,3 0 7,0 1 0,0 0 0,0-1 0,0 1 0,0 0 0,0-1 0,0 1 0,0 0 0,0 0 0,0 0 0,0 1 0,0-1 0,1 0 0,-1 1 0,1-1 0,-1 1 0,1 0 0,-1 0 0,1-1 0,0 1 0,0 0 0,0 0 0,-1 2 0,-1 4 0,-1-1 0,2 2 0,0-1 0,-2 15 0,1 1-506,1-1 0,2 0 1,1 1-1,0 0 0,2-2 1,1 2-1,8 25 0,-4-20-514,1-2 0,2 1 0,1-2 0,1 0 0,23 35 0,-27-47 214,2 0 0,0-1 0,0 0 0,1-1 0,1 0 0,0-1 0,0-1 0,16 10 0,-21-16 773,0 0-1,-1 0 1,1 0-1,1-1 1,0 1-1,-1-2 1,1 0-1,0 0 1,-1-1 0,1 0-1,0 0 1,0-1-1,0 0 1,0-1-1,0 1 1,-1-2-1,12-2 1,-11 1 33,1 0 0,-1-2 0,1 1 0,-1 0 0,0-1 0,0 0 0,-1-1 0,0-1 0,0 1 0,-1 0 0,11-13 0,-9 8 0,-1 0 0,-1-2 0,1 1 0,-1 0 0,-1-1 0,0 0 0,6-20 0,-6 7 0,-1 0 0,-1 0 0,0 0 0,-3 0 0,1 0 0,-3-1 0,-1 0 0,-6-35 0,3 41 140,0 0-1,0 1 1,-16-33 0,20 51-76,1 0 1,-2 0-1,2 0 0,-2 0 0,1 0 1,0 0-1,-1 0 0,1 0 1,-1 0-1,0 1 0,1 0 0,-1-1 1,0 0-1,-3 0 0,5 2-99,-1-1 0,1 1 0,0 0 0,-1 0-1,1 0 1,-1 0 0,1 0 0,0 0 0,-1 0 0,1 0 0,-1 1-1,1-1 1,0 0 0,-1 0 0,1 0 0,-1 0 0,1 0 0,0 0 0,0 0-1,-1 1 1,1-1 0,-1 1 0,1-1 0,0 0 0,0 0 0,0 0-1,-1 1 1,1 0 0,-1 1 34,-1-1 0,1 1 0,1 0 0,-1 0 0,0 0 0,1 0 0,-1 0 0,0 4 0,0 9 666,0 0 0,1 0 1,1 0-1,0-1 0,1 1 0,5 18 1,1-2 1780,21 56 0,-20-67-717,1-1-1,0 1 1,20 26-1,-25-38-1872,0-1-1,1-1 1,0 0-1,0 1 1,0-2 0,1 2-1,0-2 1,0 0-1,1-1 1,-1 1-1,15 5 1,3-4-415</inkml:trace>
  <inkml:trace contextRef="#ctx0" brushRef="#br0" timeOffset="2253.5">4801 2992 8192,'-25'12'15577,"25"-12"-15530,0 0-1,0 0 1,0 0 0,0 0-1,0 0 1,0 0-1,0 0 1,0 0 0,0 0-1,0 0 1,0 0-1,1 0 1,-1 0 0,0 0-1,0 0 1,0 0-1,0 0 1,0 0 0,1 0 186,-1 0-187,0 0 1,0 0-1,0 0 1,0 1 0,0-1-1,0 0 1,0 0-1,0 0 1,0 0 0,0 0-1,0 0 1,0 1-1,0-1 1,0 0 0,0 0-1,0 0 1,0 0-1,0 0 1,0 0 0,0 0-1,0 0 1,0 0-1,0 0 1,0 0 0,0 0-1,0 1 1,0-1-1,0 0 1,0 0-1,0 0 1,0 0 0,0 0-1,12-4-257,43-25 211,-3-3 0,77-59 0,-112 79 0,24-26 0,-37 36 0,-1-2 0,0 1 0,0 0 0,-1-1 0,0 0 0,1 1 0,-1-1 0,0 0 0,0 0 0,-1 0 0,0 0 0,1 0 0,-1-1 0,0-5 0,-1 9 0,1 0 0,-1 1 0,0 0 0,0 0 0,0-1 0,0 1 0,0-1 0,0 1 0,0 0 0,0-1 0,0 1 0,0-1 0,0 1 0,0 0 0,0-1 0,0 1 0,-1-1 0,1 1 0,0 0 0,0 0 0,0-1 0,0 1 0,0-1 0,-1 1 0,1 0 0,-1 0 0,1-1 0,0 1 0,0 0 0,0-1 0,-1 1 0,1 0 0,-1 0 0,1 0 0,0 0 0,-1 0 0,1-1 0,-1 1 0,1 0 0,0 0 0,0 0 0,-1 0 0,0 0 0,1 0 0,0 0 0,0 0 0,-1 0 0,0 0 0,1 0 0,-1 0 0,1 0 0,0 1 0,0-1 0,-1 0 0,1 0 0,-1 0 0,1 0 0,0 0 0,0 1 0,-1-1 0,1 0 0,-1 1 0,1-1 0,-3 2 0,0 0 0,1 0 0,-1 0 0,1 0 0,0 0 0,-4 6 0,5-5 1,-1-1 1,1 0-1,0 0 1,0 1 0,0 0-1,0-1 1,0 1-1,1 0 1,0-1 0,-1 1-1,1 0 1,0 0-1,0-1 1,0 1 0,0 0-1,1-1 1,-1 1 0,0 0-1,1-1 1,0 1-1,0 0 1,0-1 0,0 1-1,0-1 1,1 0-1,3 4 1,-2-2-43,0 0-1,2 0 1,-2 0-1,1-1 1,1 1-1,-1-1 1,1 0 0,0-1-1,-1 1 1,1-1-1,0 0 1,10 3-1,-5-3-555,0 0-1,0 0 0,0-1 0,0-1 1,1 1-1,-1-2 0,0 1 0,0-2 1,12-2-1,-7 1-1597,-1-2 0,0 0 0,14-7 0,-26 12 1979,0-2 0,0 1 1,-1 1-1,1-1 0,0 0 1,0 1-1,0-1 0,0 1 1,0-1-1,0 1 0,-1 0 1,4 0-1,-4 0 237,0 1 0,0 0 1,-1-1-1,1 0 0,0 1 0,-1 0 0,1-1 1,0 1-1,0 1 0,-1-2 0,0 1 0,1 0 1,0-1-1,-1 2 0,0-2 0,0 1 0,1 0 1,-1 0-1,0 0 0,1 0 0,-1 0 0,0 0 1,0 0-1,0 1 0,0 0 539,0 1 0,1 0 0,0 0 0,0 0 0,0 0 0,0-1 0,0 0 0,1 1 0,-1 0 0,1-1 0,-1 0 0,1 0 0,0 0 0,0 0 0,0 0 0,3 3 0,-3-4-253,0 0 1,0 0 0,0 0 0,0 0-1,0 0 1,0-1 0,1 1 0,-1 0-1,0-1 1,1 0 0,-1 0 0,1 0-1,-1 0 1,0 0 0,0 0 0,0 0 0,1-1-1,-1 0 1,0 1 0,4-2 0,1-2-177,0 1 1,0 0 0,-1-1 0,0 0 0,0 0 0,1-1-1,6-6 1,-5 2-647,0 1-1,-1-2 1,0 2 0,7-15-1,-4 6-667,-2-1 0,-1 1 0,0-1 0,-1-1-1,5-26 1,-9 33 194,0 0 0,-1 0-1,-1 0 1,1 0 0,-2 0-1,-2-13 1,2 18 912,-1-1-1,0 2 0,0-1 1,0 0-1,-1 1 0,-1-1 1,1 1-1,0-1 1,-1 1-1,-1 1 0,-4-8 1,7 11 77,0 0 0,0 0 0,0 0 0,0 1 0,0-1 0,0 1 0,0-1 0,-1 1 0,1 0 0,0-1 0,0 2 0,-1-2 0,0 1 0,1 1 0,-1-1 0,-4 0 0,5 1 0,0 0 0,0 1 0,0-1 0,0 1 0,0-1 0,-1 1 0,2 0 0,-1 0 0,0 0 0,1 0 0,-1 0 0,0 0 0,0 1 0,1-1 0,-1 0 0,1 1 0,0-1 0,-1 0 0,1 1 0,0 0 0,-1 0 0,0 2 0,-4 8 0,1-1 0,0 1 0,0 1 0,1-1 0,1 1 0,0-1 0,1 0 0,-2 18 0,4-11 0,-1 0 0,2 0 0,0-1 0,1 1 0,6 22 0,-5-32 0,0 1 0,0 0 0,1-1 0,1 1 0,0-1 0,0 0 0,0 0 0,1-1 0,0 0 0,1 0 0,0-1 0,9 9 0,-9-11 0,0 1 0,0-2 0,0 0 0,1 1 0,-1-1 0,1-1 0,0 0 0,0 0 0,1 0 0,-1-1 0,0-1 0,1 0 0,-1 1 0,1-2 0,9 0 0,-7 0 0,0-2 0,0 0 0,0 0 0,-1 0 0,1-1 0,-1 0 0,14-8 0,12-9 0</inkml:trace>
  <inkml:trace contextRef="#ctx0" brushRef="#br0" timeOffset="3175.41">5090 3990 8192,'-2'-21'10112,"-3"-1"-4196,3 14-5288,0 1 1,-1 1 0,0-1 0,-5-9 0,5 12-679,1 1 0,0 0 0,0 0 0,0 0 0,-1 1 0,1-1 0,-1 0 0,0 0 0,0 1 0,0 0 0,0 0 0,-1 0 0,1 0 0,0 0 0,-1 1 0,1 0 0,-1-1 0,1 2 0,-1-1 0,0 0 0,0 1 0,-5-1 0,6 1 50,1 0 0,-1 1 0,0-1 0,1 1 0,0 0 0,0 0 0,-1 0 0,1 0 0,-1 0 0,1 0 0,0 0 0,0 1 0,0 0 0,0-1 0,0 1 0,0 0 0,0-1 0,1 1 0,0 0 0,-1 1 0,0 1 0,-4 6 0,1 0 0,0 0 0,-5 18 0,1 2-737,1 2 0,2-1 1,1 0-1,1 2 1,2-2-1,1 2 0,2-2 1,1 2-1,2-2 1,0 1-1,18 54 0,-19-75 384,1-1 0,1 1 0,0-1 0,0 0 0,1 0-1,0 0 1,1-2 0,1 1 0,-1 0 0,1-1-1,1 0 1,15 12 0,-18-15 111,2-1 1,-1 0-1,0 0 0,1-1 1,0 0-1,-1 0 1,2-1-1,-1 0 0,0 0 1,0-1-1,0 0 0,1 0 1,-1-1-1,0 0 0,0 0 1,0-2-1,1 2 0,9-4 1,-9 1 227,0 0 0,0 1 0,0-2 0,-1 0 0,0-1 1,0 1-1,0-1 0,0 0 0,-1-1 0,0 0 0,0 0 0,6-7 1,-5 3 173,0 0 0,-1 0 0,-1-1 0,0 0 0,-1 0 0,1-1 0,-2 1 0,3-13 0,1-9-213,-2-1 1,-2 0-1,-1 1 0,-2-2 1,-4-51-1,3 79 319,-8-79 1983,6 75-2628,0 0-1,-1 0 1,-1-1-1,1 2 1,-7-13 0,3 13 1143,2 9 111,5 2-872,0 1 0,-1-1 0,1 0 0,-1 1 0,1-2 0,0 2 0,0-1 0,-1 0 0,1 1 0,0-1 0,1 1 0,-1 1 0,8 46-2185,13 28 3040,25 47 1346,-29-82-2601,15 22 5444,-26-53-3770,1-1 1,0 1-1,1-1 1,0 0 0,1 0-1,18 15 1,-1-7-590</inkml:trace>
  <inkml:trace contextRef="#ctx0" brushRef="#br0" timeOffset="3842.26">5134 4347 8192,'44'-4'8245,"1"-8"-7154,40-23-4083,-46 17 435,69-43 0,-92 51 2381,-1-2 0,-1 1 1,1-1-1,-2-1 0,0-1 0,22-28 1,-31 34 118,1 0 1,-1 0-1,0 0 0,0-1 1,3-17-1,-6 23 233,0-1 0,-1 1-1,0 0 1,1-1 0,-1 1 0,-1 0-1,1-1 1,-1-4 0,0 6 195,1 1 0,0-1 1,-1 0-1,0 0 0,0 1 1,0 0-1,0-1 0,0 0 0,0 1 1,0 0-1,0-1 0,-1 2 1,1-2-1,0 1 0,-1 0 0,1 0 1,-3-1-1,3 1-129,0 0 1,0 1-1,0 0 0,-1 0 0,1-1 1,0 1-1,0-1 0,-1 1 1,1 0-1,0 0 0,-1 0 0,1 0 1,0 0-1,-1 1 0,1-1 1,0 1-1,-1-1 0,2 0 0,-2 0 1,1 1-1,-1 0 0,2 0 1,-2-1-1,1 1 0,0 0 0,0-1 1,0 2-1,1-2 0,-2 1 0,2 0 1,-1 0-1,0 0 0,0 0 1,-1 2-1,0 1-80,0 0-1,0 0 1,0 0 0,-1 1-1,2-1 1,0 0 0,-1 1-1,1-1 1,0 6 0,1-6-154,-1 0 1,1-1 0,1 1 0,-1-1 0,0 1-1,0 0 1,2-1 0,-2 1 0,2 0-1,-2-1 1,2 0 0,0 1 0,-1-1 0,1 0-1,0 1 1,0-2 0,0 2 0,1-1-1,-1-1 1,4 4 0,-2-3-208,1 0 0,-1-1 1,0 1-1,1 0 0,0-1 1,0 0-1,0 0 0,0-1 0,0 1 1,0-1-1,1 0 0,-1-1 0,0 1 1,6-1-1,0 0 453,0-1 0,-1 0 1,1 0-1,0-1 0,-1-1 0,1-1 1,-1 1-1,1 0 0,-2-2 0,11-5 1,-15 7-255,11-4 0,-15 7 0,-1 0 0,0 0 0,1 0 0,-1 0 0,1 0 0,-1 0 0,1 0 0,-1 0 0,0 0 0,1 1 0,-1-1 0,1 0 0,-1 1 0,0-1 0,1 0 0,-1 0 0,1 0 0,-1 1 0,0-1 0,0 1 0,0-1 0,1 1 0,-1-1 0,0 0 0,1 0 0,-1 1 0,0 0 0,0-1 0,0 0 0,0 0 0,0 1 0,0 0 0,0-1 0,0 0 0,0 1 0,0 0 0,3 38 0,-3-30 0,0 1 0,1-2 0,3 18 0,-3-23 0,-1-1 0,1 0 0,0 1 0,0-1 0,0 1 0,1-1 0,-1 0 0,0 0 0,2 0 0,-2 0 0,1 0 0,-1 0 0,1-1 0,0 1 0,0 0 0,0 0 0,1-1 0,2 2 0,-3-3 1,0 1 1,0 0 0,1-1 0,-1 1-1,1-1 1,-1 1 0,0-1 0,0 0-1,1 0 1,-1 0 0,0 0 0,1-1 0,-1 0-1,1 1 1,-1 0 0,0-1 0,0 0-1,1 0 1,-1 0 0,0 0 0,0 0-1,0-1 1,0 1 0,-1 0 0,4-3-1,3-3-101,-2 0-1,1 0 0,-2 0 0,1-1 0,6-10 0,1-5-1241,-2 1-1,0-1 0,-2-1 0,-1 0 0,0-1 1,-2 0-1,4-27 0,-8 29 529,0-1-1,0 1 1,-3-1-1,0 1 1,-1-1-1,-1 0 1,-11-40-1,12 56 795,-1 0-1,0 0 1,0 0-1,-1 0 1,0 1-1,-1-1 1,1 1 0,-1 0-1,-8-9 1,12 15 20,1 0 0,-1 1 0,0-1 0,0 0 0,0 1 0,0-1 0,1 0 0,-1 1 0,0 0 0,0 0 0,0-1 0,0 1 0,0-1 0,0 1 0,0 0 0,1 0 0,-2 0 0,1 0 0,0 0 0,0 0 0,0 0 0,0 0 0,0 0 0,0 0 0,1 0 0,-3 2 0,1-1 0,0 0 0,0 0 0,1 0 0,-1 2 0,1-2 0,-1 0 0,1 1 0,0 0 0,0 0 0,0-1 0,0 1 0,-2 3 0,-2 7 0,1 0 0,-1 0 0,2 0 0,0 1 0,1-1 0,-1 24 0,2-6 0,6 54 0,-2-58 0,1 1 0,1-1 0,2 0 0,1 0 0,15 36 0,-18-52 0,-1-2 0,1 1 0,0 0 0,1 0 0,0-1 0,0-1 0,1 1 0,0 0 0,1-2 0,-1 1 0,1-1 0,0 0 0,1 0 0,0-1 0,-1 0 0,1 0 0,19 5 0,-16-7 0,-1-1 0,0 0 0,0-1 0,1-1 0,0 1 0,-1-2 0,0 1 0,1-2 0,-1 0 0,0 0 0,0 0 0,0-2 0,0 0 0,0 0 0,12-7 0,21-16 0</inkml:trace>
  <inkml:trace contextRef="#ctx0" brushRef="#br0" timeOffset="4837.2">2921 1879 8192,'-7'5'18137,"16"-7"-18252,400-131-445,-394 127-319,64-28-1039,-71 30 445,0-1-1,0 0 0,13-11 0,-20 14 1155,0 2-1,0-1 1,0 0-1,-1 0 1,1 0-1,0 0 1,-1 0-1,1 0 1,0 0-1,-1 0 1,1 0 0,0 0-1,-1 0 1,1 0-1,-1-1 1,0 1-1,0 0 1,0 0-1,0-2 1,0 2 188,0 0 0,0 0 0,-1 0 0,1 0 0,-1 0 0,0-1 0,1 2 0,0-2 0,-1 2 0,0-2 0,1 2 0,-2-1 0,2-1 0,-1 2 0,-2-2 0,-3-2 130,-1 0 1,1 0-1,-1 0 0,-13-4 0,15 6-280,-52-19 2134,11 5 4219,38 6 383,8 10-6353,15-2 3257,-4 2-4200,5 1 800,0 1 0,1 0 1,-1 1-1,0 0 0,0 1 0,-1 2 1,0-1-1,1 2 0,20 11 0,-27-12 96,-1-1 0,1 1 0,-1 0 0,-1 1 0,1 0 0,-1 0 0,0 1 0,-1 0 0,0 0 0,0 0 0,-1 1 0,1 0 0,-2 0 0,1 1 0,-2-1 0,5 15-1,-4-2-1104,-1 0 1,-2 1-1,0-1 0,-1 0 0,-1 0 0,-5 27 0,-2 1 75</inkml:trace>
  <inkml:trace contextRef="#ctx0" brushRef="#br0" timeOffset="5522.99">3354 3234 8192,'-16'22'17889,"16"-22"-17756,6 0-133,0 0 0,0 0 0,0-2 0,-1 2 0,2-2 0,-2 1 0,9-4 0,-3 2 0,229-85-5507,-87 13-3931,-140 69 8786,-7 4 450,-1-1 0,1 0 0,-1 0-1,0 0 1,0-1 0,0 0 0,0 0 0,-1 0 0,0-1 0,0 1 0,4-6 0,-8 10 202,1-1 0,-1 1 0,0-1 0,1 0 0,-1 1 0,0 0 0,0-1 0,0 0 0,0 1 0,0-1 0,0 1 0,0-1 0,0 1 0,0-1 0,0 0 0,0 1 0,0 0 0,0-1 0,0 0 0,0 1 0,0 0 0,-1-1 0,1 0 0,-1 1 0,1 0 0,0-1 0,0 1 0,0-1 0,-1 1 0,1 0 0,-1-1 0,1 1 0,0-1 0,-1 1 0,0 0 0,1 0 0,0-1 0,-1 1 0,1 0 0,-1-1 0,1 1 0,-1 0 0,1 0 0,-1 0 0,0 0 0,1 0 0,-1 0 0,1 0 0,-1 0 0,0 0 0,-30-1 0,23 2 0,3-1 0,-1 0 0,1 1 0,-1 0 0,1 1 0,-1-1 0,-7 3 0,29 1 495,30 2 1762,-37-5-1000,0 0 0,-1 1 0,1 0 0,0 1 0,10 6 0,-14-6-585,1-1 0,-2 1 0,1 0 0,-1 0 1,1 0-1,-1 0 0,0 1 0,0 0 0,2 6 0,-3-7-557,0 2-1,0-1 0,-1 1 0,0-1 0,-1 0 0,2 9 0,-2-1-421,1 0 0,-2 1 1,0-1-1,-1 1 0,-1-1 0,0 0 0,-5 19 0,-33 86-5210,38-115 5344,-22 57-826</inkml:trace>
  <inkml:trace contextRef="#ctx0" brushRef="#br0" timeOffset="6130.71">3803 4447 8192,'-7'14'18575,"15"-11"-19128,4-1 553,-1-2 0,1 0 0,-1 0 0,1-1 0,0 0 0,-1-1 0,0-1 0,18-5 0,-10 4 0,234-73-2782,-208 60 941,-1-2 0,-2-2 0,63-41 0,-91 53-982,25-23 0,-36 29 2667,0-1 1,0 2-1,-1-2 0,1 0 1,0 1-1,-1-1 1,0 0-1,0 0 1,0 0-1,-1 0 0,1 0 1,1-5-1,-3 7 150,0 1 0,0 0-1,0-1 1,0 1 0,0 0 0,0-1-1,0 1 1,0 0 0,0-1-1,0 1 1,-1 0 0,0-1 0,1 1-1,0 0 1,-1-1 0,0 2-1,0-2 1,1 1 0,-1 0 0,0 0-1,0 0 1,0 0 0,0 0-1,0 0 1,0 0 0,0 0 0,0 1-1,0-1 1,-1 0 0,1 1-1,0-1 1,0 1 0,-1-1-1,1 1 1,-3-1 0,3 1 135,0 0 0,0 0 0,0 0 1,-1 0-1,1 0 0,0 0 0,0 0 0,0 0 0,0 1 0,0-1 1,0 0-1,0 0 0,0 1 0,0 0 0,0-1 0,-1 0 1,0 2-1,1 0 201,0-2 1,1 1 0,-1 1 0,0-2-1,1 2 1,-1-2 0,0 2 0,1-1-1,0 0 1,-1 0 0,1 0 0,-1 0-1,1 0 1,0 1 0,0-1-1,0 0 1,0 0 0,0 0 0,0 1-1,0 0 1,9 35 6291,5 1-4838,-7-24-1663,-2 1 1,7 26 0,-11-31-243,0-1 1,-1 1 0,0 0 0,0-1 0,-2 1-1,1-1 1,-1 0 0,0 1 0,-1-1 0,0 1 0,0-1-1,-7 11 1,-4 6-478,-1-2 0,-33 42 1,-13 6 597</inkml:trace>
  <inkml:trace contextRef="#ctx0" brushRef="#br0" timeOffset="7146.13">708 2179 8192,'0'-9'18022,"5"16"-18022,1 16 0,11 19 0,1 14 0,3 13 0,-3 10 0,-3 1 0,0-7 0,-3-11 0,-3-26 0,-3-19 0</inkml:trace>
  <inkml:trace contextRef="#ctx0" brushRef="#br0" timeOffset="7582.44">679 2236 8192,'-1'-12'0,"2"-1"0,0 0 0,0 0 0,1 1 0,1-1 0,0 1 0,1 0 0,0 0 0,1 1 0,6-14 0,-1 8-8,-1 2-1,2-1 1,1 2 0,0 0 0,22-22 0,-23 26 75,0 2 1,0 0-1,0-1 1,1 2 0,0 0-1,1 1 1,-1 0-1,19-5 1,-25 9 322,-2 1 0,2 0 0,-1 0 0,0 0 0,0 1 0,0 0-1,1 0 1,-1 0 0,0 1 0,0 0 0,1-1 0,-1 2 0,0-1 0,0 1 0,0-1 0,-1 1 0,1 1-1,6 2 1,-7-1 142,0-1 0,1 1 1,-1 0-1,0 0 0,0 0 0,-1 0 0,1 1 0,-1 0 0,0 0 0,0-1 0,-1 2 0,0-2 0,0 2 0,0-1 1,0 1-1,1 8 0,-1-3-411,-1-1-1,0 0 1,-1 0 0,0 0 0,-1 0-1,0 1 1,-1-1 0,-5 18 0,1-10-141,-1-1 1,-1 0-1,-18 31 1,23-45 19,-6 16 0,9-19 0,-1 1 0,1 0 0,0-1 0,0 0 0,0 1 0,0-1 0,0 1 0,0-1 0,0 0 0,0 1 0,0-1 0,0 1 0,0-1 0,0 0 0,0 1 0,1 0 0,-1-1 0,0 0 0,0 0 0,1 1 0,-1 0 0,0-1 0,0 0 0,0 0 0,1 1 0,-1-1 0,0 1 0,1-1 0,-1 0 0,0 0 0,1 0 0,-1 0 0,1 1 0,-1-1 0,0 0 0,0 1 0,1-1 0,0 0 0,-1 0 0,0 0 0,1 0 0,-1 0 0,1 0 0,13 1 10,0 0 0,0-1 1,16-2-1,-15 0-144,0 1 0,0 1 0,15 2-1,-22-1-262,-1 0-1,0 1 0,-1-1 1,2 2-1,-2-1 0,1 2 1,0-2-1,-1 2 0,0-1 1,0 1-1,0 0 0,9 8 1,-13-8-69,2-1 0,-1 0 0,-1 1 0,1 0 0,0 0 0,-1 1 0,0-1 0,0 0 0,-1 0 0,1 0 0,-1 0 0,0 1 0,0 0 0,0 0 0,-1-1 0,1 0 0,-1 1 0,0 0 0,-1-1 0,0 9 0,-2 0 195,-1 1-1,-1-1 1,0 1-1,-1-2 1,0 1-1,-1 0 1,0-1-1,-12 15 0,-8 7 209,-44 43-1,49-54 64,-2-1 0,0-1 0,-1 0 0,-37 21 0,59-40 0,1-1 0,-1 1 0,1 0 0,-1-1 0,0 0 0,0 0 0,0 0 0,0 0 0,0 0 0,0-1 0,0 1 0,0-1 0,0 0 0,0 1 0,0-2 0,0 1 0,-1 0 0,2-1 0,-6 0 0,-12-11 0</inkml:trace>
  <inkml:trace contextRef="#ctx0" brushRef="#br0" timeOffset="8656.54">1373 2278 8192,'0'23'12712,"-1"0"-6979,0 7-5945,4 44 1,-2-71 211,-1 1 0,1-2 0,0 2 0,0-1 0,0-1 0,1 2 0,-1-2 0,0 1 0,2 0 0,-2-1 0,1 0 0,0 1 0,0-1 0,0 1 0,1-1 0,-1 0 0,1 0 0,-1 0 0,1-1 0,0 1 0,0 0 0,-1-1 0,1 0 0,0 0 0,0 0 0,0 0 0,0 0 0,1-1 0,-2 1 0,2-1 0,-1 0 0,0 0 0,0 0 0,0 0 0,1-1 0,-1 1 0,0 0 0,0-1 0,0 0 0,0 0 0,0 0 0,0-1 0,-1 1 0,2 0 0,-2-1 0,1 0 0,-1 0 0,1 0 0,-1 0 0,0-1 0,1 1 0,-1 0 0,2-4 0,0 0 0,0-2 0,-1 1 0,0-1 0,0 1 0,0 0 0,-1-2 0,0 1 0,-1 1 0,0-1 0,0 0 0,-1 0 0,0 0 0,0 0 0,0-1 0,-2 1 0,1 0 0,-1 0 0,0 1 0,-4-10 0,2 6 0,0 0 0,-1 1 0,0-1 0,0 1 0,-2 0 0,1 1 0,-1-1 0,-1 1 0,0 1 0,0-1 0,0 1 0,-18-12 0,23 18 0,0 0 0,0 0 0,-1 1 0,1 0 0,0-1 0,-2 1 0,2 0 0,0 0 0,-1 0 0,0 1 0,0 0 0,1-1 0,-2 1 0,-3 1 0,6-1 0,-1 0 0,1 1 0,-1 0 0,0-1 0,1 2 0,0-2 0,-1 2 0,1-1 0,0 0 0,0 1 0,0 0 0,0-1 0,0 0 0,0 1 0,0 0 0,1 1 0,-1-1 0,0 0 0,1 0 0,0 0 0,-1 3 0,-2 2-504,1-1 0,1 1 0,0 0 0,0 0 0,0 0 0,1 1 0,0-1 1,0 0-1,1 0 0,0 0 0,0 1 0,1-1 0,0 0 0,0 0 0,4 12 1,-4-15 113,1 1 1,0 0 0,1 0 0,0-1 0,0 1 0,-1-1-1,2 0 1,-2 0 0,3 0 0,-2 0 0,1 0-1,0-1 1,0 0 0,0 1 0,1-2 0,-1 1 0,1 0-1,0-1 1,0 0 0,-1 0 0,1-1 0,8 3 0,-3-2 324,0-1 1,0 0-1,0-1 0,-1 0 1,2 0-1,-2-1 1,1 0-1,0-1 1,0 0-1,-1-1 1,1 0-1,-1 0 1,0-1-1,0 0 0,0-1 1,11-7-1,-9 4 72,-1 1 0,-1-1 0,1 0 0,-1-1-1,0 0 1,-1-1 0,-1 0 0,1 0 0,-1-1-1,-1 0 1,0 1 0,6-19 0,-7 15-7,-1-1 0,0 1 0,-1-1 0,-1 0 0,0 0 0,-1 0 0,-1 0 0,0-1 0,-4-18 0,3 25 0,-1 0 0,0 1 0,0-1 0,-1 0 0,0 1 0,-1-1 0,0 1 0,0 0 0,-1 1 0,1-1 0,-2 1 0,1-1 0,-1 2 0,-1-1 0,1 1 0,-14-10 0,18 14 108,0 0 1,0 2 0,0-2 0,0 1-1,0 0 1,0 0 0,0 0-1,0 0 1,0 1 0,0-1-1,-1 1 1,1-1 0,0 1-1,-1 0 1,1 0 0,0 0-1,0 0 1,-1 0 0,1 1 0,0-1-1,0 1 1,-2 0 0,1 1 149,1-1 0,0 0 1,0 1-1,0 0 0,0-1 1,1 1-1,-1 0 0,0 0 1,1 0-1,0 0 1,-1 0-1,1 0 0,0 0 1,0 1-1,0-1 0,1 0 1,-1 1-1,0-1 0,1 0 1,-1 4-1,-1 6 284,2-1 0,0 1 0,0 0 0,0 0 0,2-1 0,0 2 0,0-2 0,1 0 0,1 1 0,4 10 0,-2-7 188,1-1 0,0 0 0,15 21 1,-14-25-1668,0 0 1,13 12 0,-8-11 257,1 0-1,0-1 1,1-1 0,0-1 0,0 0-1,1 0 1,0-1 0,0-1 0,1-2-1,0 1 1,0-1 0,32 3 0,-20-5-585,-1-1 1,1-1 0,43-6 0,-42 1 1205,39-10 0,-43 7 43,-1 0 1,38-19-1,-56 23 57,1 0-1,-1 0 1,0 0-1,-1-1 0,1 0 1,-1-1-1,1 1 1,-1-1-1,-1 0 1,1-1-1,-2 0 0,6-7 1,-9 12 16,0 0 0,0 0-1,0-1 1,0 1 0,-1 0 0,1-1 0,-1 1 0,1 0 0,-1-1 0,0 1-1,0-1 1,0 1 0,0 0 0,-1-1 0,1 1 0,-1-1 0,1 1-1,-1-1 1,0 1 0,-1-4 0,0 3-33,0 0 0,-1 0 0,1 0 0,-1 0 0,0 0 1,1 1-1,-1-1 0,-1 1 0,2 0 0,-2 0 0,1 0 0,-7-2 0,5 2 305,1 0 0,-2 0 0,1 1 0,0 0 0,0 0 0,-1 0 0,1 1 0,0 0 0,-7 0-1,9 0 305,-1 0-1,2 0 1,-2 1-1,1 0 0,0 0 1,0 0-1,0 0 1,0 0-1,0 1 0,0-1 1,0 0-1,1 1 0,0 0 1,-1 0-1,-3 3 1,3-1-501,0 0 0,0 0 0,1 0 0,0 1 0,0 0 0,0-1 0,0 1 0,0-1 0,1 2 0,0-2 0,0 1 0,1 0 0,-1 0 0,1 0 0,-1 0 0,2 0 0,0 6 0,0-4-164,0-1 0,0 1 0,1-1 0,0 1 0,0-1 1,1 0-1,0 0 0,0 0 0,0 0 0,0 0 0,1 0 0,5 5 0,-5-7-353,0-1 0,0 1-1,0-1 1,1 1 0,-1-1-1,1 0 1,-1-1 0,1 0-1,0 0 1,7 2 0,-10-2 100,2-2 1,-1 1 0,0-1 0,0 1 0,1-1 0,-1 0 0,0 0 0,0-1 0,0 1 0,0-1 0,1 1 0,-1-1 0,0 0 0,0 0 0,0 0 0,0-1-1,0 1 1,4-4 0,-2 1-658,0 0-1,0 0 0,0-1 0,0 1 0,6-9 1,-4 4 352,-1-2 1,8-15 0,-4 4 441,-2-1 0,9-31 0,-12 34 147,-1 0 0,-1 0 0,-1 0 0,0-1 0,-2 1 0,0 0 0,-1-1 0,-2 0 0,0 1 0,-1 0 0,0 0 0,-3 1 0,1-1 0,-2 1 0,0 1 0,-1-1 0,-22-32 0,28 47 0,-1-1 0,2 2 0,-2-1 0,0 0 0,1 1 0,-1-1 0,0 1 0,-1 0 0,-8-5 0,12 7 0,0 1 0,-1 0 0,1 0 0,0-1 0,-1 1 0,1-1 0,0 1 0,-2 0 0,2 0 0,0 0 0,-1 0 0,1 1 0,0-1 0,-1 1 0,-2-1 0,2 2 0,0-2 0,0 2 0,0-1 0,0 0 0,0 1 0,1 0 0,-2-1 0,2 1 0,-1 0 0,1 0 0,-1 0 0,0 2 0,-6 10 0,2 0 0,0 0 0,0 1 0,2 0 0,0 0 0,1-1 0,-3 30 0,2-7 0,2 0 0,2 0 0,5 48 0,-2-61 0,1-1 0,1 1 0,1 0 0,1-2 0,1 1 0,14 26 0,-18-40 0,1-2 0,0 1 0,0 0 0,1-1 0,0 0 0,0 0 0,1-1 0,0 0 0,0 0 0,9 6 0,-11-9 0,-1-1 0,1 0 0,-1 0 0,1 0 0,0 0 0,0-1 0,0 0 0,0 0 0,0 0 0,0 0 0,0-1 0,1 0 0,-2 0 0,2 0 0,-1-1 0,0 1 0,0-2 0,0 2 0,7-4 0,-5 0 0,1 1 0,-1-1 0,0-1 0,0 1 0,0-1 0,0 0 0,-1 0 0,0-1 0,0 0 0,6-9 0,14-22 0</inkml:trace>
  <inkml:trace contextRef="#ctx0" brushRef="#br0" timeOffset="11275.03">694 3705 8192,'-5'17'15870,"-6"-1"-12137,-20 13-6739,23-23 4431,-8 8-1425,-1-1 0,0-1 0,-27 15 0,36-23 0,0-1 0,1 0 0,-1 0 0,0 0 0,0-1 0,1 0 0,-2-1 0,1 1 0,0-2 0,0 1 0,-17-2 0,22 1 2,-1-1 0,1 0 0,-1-1 0,0 1 0,1 0 0,0-1 1,0 0-1,-1 0 0,2 0 0,-2 0 0,2-1 0,-1 1 0,0 0 0,1-1 1,-1 0-1,1 1 0,0-2 0,0 2 0,0-2 0,0 1 0,1-1 1,-2-2-1,0-3-78,-1-1 0,1 2 0,1-2-1,0 2 1,1-2 0,0 1 0,0-14 0,2 14-683,-1 0-1,2 0 1,-1 0-1,1 0 1,1 0-1,-1 0 1,9-15 0,-10 21 272,0 0 1,1-1 0,0 2 0,0-2 0,0 2-1,0-1 1,0 0 0,1 1 0,0-1 0,-1 0-1,0 1 1,2 0 0,-2 0 0,1 0 0,1 0-1,-1 1 1,0-1 0,0 0 0,1 1 0,-1 0-1,0 0 1,7 0 0,-8 1 474,0 0 0,0 0 0,0 0 0,0 0 0,1 0 0,-1 1 0,0 0 0,0-1 0,0 1 0,0 0 0,0 0 0,0 0 0,0 0 0,-1 0 0,4 3 0,-2-2 8,0 2 0,0-1 1,0 1-1,0-1 0,-1 1 0,1-1 1,1 6-1,2 5 8,-1-2 1,-1 2-1,5 26 1,-1 9-5,-3 1 0,-1 68 0,-18 99 0,13-203 0,-14 84 0,13-88 0,0-1 0,-1 1 0,-1-2 0,1 1 0,-1 0 0,-1 0 0,-9 13 0,13-20-3,0-2 1,1 2-1,-1-1 1,0 0-1,0 0 1,0 0-1,0 0 1,0 0-1,0 0 1,0-1 0,0 1-1,-1 0 1,2-1-1,-2 1 1,1 0-1,0-1 1,-1 0-1,1 1 1,0-1-1,0 1 1,0-1-1,-4 0 1,4 0 86,0-1 1,-1 0-1,1 1 1,0-1-1,0 0 0,0 1 1,0-1-1,0 0 1,-1 0-1,1 0 1,1 0-1,-2 0 1,2 0-1,-1 0 0,0 0 1,1-1-1,-1 2 1,0-3-1,-3-6 124,0 1 1,1-2-1,1 1 0,0 0 0,-2-10 0,1-2-1036,1 0-1,1-25 0,2 37 1347,-1 0-1,2 1 0,2-11 1,-3 15 165,1 0 0,-1 0 0,1-1 0,0 1 0,0 0 0,0 0 1,4-4-1,-4 6-435,-1 1 1,0 0 0,0-1 0,1 2 0,0-2-1,-1 1 1,0 0 0,1 0 0,0 0 0,-1 0-1,1 1 1,0-1 0,-1 0 0,2 1 0,-2-1-1,1 1 1,0-1 0,0 1 0,-1 0 0,1 0-1,1 0 1,-1 0 0,-1 0 0,1 1 0,0-1-1,-1 1 1,1-1 0,3 2 0,3 1 96,1 1 0,-1 0-1,-1 1 1,12 8 0,-14-10-848,46 29-1386,-31-20 2679,43 15 0,-47-21-603,0-1-1,0-1 0,0-1 0,1 0 1,-1-1-1,1-1 0,19 0 0,-29-1-550,-1-1 0,0 0 0,0 0 0,0 0 0,0-1 0,0 0 0,0 0 0,-1 0 1,1 0-1,-1-1 0,1 0 0,-1-1 0,0 1 0,0-1 0,6-5 0,-6 2-402,1 1 1,-1 0-1,-1-1 1,0 0 0,0 0-1,1 0 1,-2-1-1,0 1 1,-1-1-1,1 1 1,1-11 0,-1 1 453,-1-1 0,-1 0 0,0 1 0,-2-1 0,1 0 0,-2 1 0,-5-25 0,0 14 462,-1-1 0,-2 2 1,-20-45-1,27 67 76,-14-27 1166,16 31-1457,0-1 0,1 1 0,-1 0 0,0 0 0,1 0 1,-1 0-1,0 0 0,0 0 0,0 0 0,0 1 0,-1-1 1,2 0-1,-2 1 0,1-1 0,0 0 0,0 1 0,0-1 1,-1 1-1,-2-1 0,4 1 47,-1 0 1,1 0-1,-1 1 0,0-1 1,1 1-1,0-1 0,-1 0 0,0 1 1,1-1-1,0 1 0,-1-1 1,1 0-1,-1 1 0,1 0 1,0-1-1,0 0 0,-1 1 1,1 0-1,0-1 0,-1 1 1,1 0-1,0-1 0,0 0 1,0 1-1,0 0 0,0-1 0,0 2 1,-1 8-20,0-1 1,1 0-1,0 1 0,0-1 1,3 17-1,14 48-147,-14-64 203,-3-10-18,32 103 68,-27-90 1065,14 23 0,-15-30 233,0 1-1,1-1 1,0 0-1,9 8 1,9 2 4912,-3-8-4953</inkml:trace>
  <inkml:trace contextRef="#ctx0" brushRef="#br0" timeOffset="11444.14">781 4004 8192,'2'0'0,"6"-4"3356,9-7-3356,11-9 0,14-13 5996,9-10-5996,8-7-2971,-1 8 2971,-5 4-5849,-7 9 5849,-11 10 2971</inkml:trace>
  <inkml:trace contextRef="#ctx0" brushRef="#br0" timeOffset="12305.21">1417 3876 8192,'-5'-35'10664,"-6"4"-4585,6 23-5684,1 1 0,0 0 0,-1 0-1,-1 1 1,1 0 0,-7-7 0,1 4-893,0 0-1,0 1 0,-1 0 1,0 1-1,-13-6 1,-12-3 2004,31 14-1506,-1 0 0,1 0 0,-1 1 0,1 0 0,-1 0 0,1 0 0,-1 1 0,-7 0 0,11 0 0,0 1 0,0-1 0,0 1 0,0 0 0,0 0 0,0-1 0,0 2 0,0-1 0,1 0 0,-1 1 0,1 0 0,-1-1 0,1 1 0,-1 0 0,1 0 0,0 0 0,0 0 0,0 1 0,0-1 0,-1 3 0,-1 3-99,0 0 0,0 1 0,1-1 0,-1 0-1,2 1 1,0 0 0,0 0 0,1 0 0,0 0 0,0 0 0,1 14 0,0-17-373,1 0-1,0 0 1,0 1-1,0-2 1,1 1-1,-1 0 1,1-1 0,1 1-1,-1 0 1,1-1-1,0 1 1,0-2-1,1 2 1,-1-2-1,2 1 1,-1 0-1,0-1 1,5 4-1,-5-5 47,1 1-1,0-2 1,0 1-1,0 0 0,0-1 1,1 0-1,-2 0 1,2-1-1,-1 1 0,1-1 1,0 0-1,-1-1 1,1 0-1,7 0 1,-6 0 189,-1-1 1,1 0-1,-1-1 1,0 0-1,0 0 1,0 0-1,0 0 1,0-2-1,-1 1 1,1 0-1,6-6 1,-5 4 493,0-1 0,-1 0 0,0 0 0,0-1 0,0 0 1,-1 0-1,0-1 0,4-8 0,-5 10 649,-1-1 0,-1-1 0,1 1 0,-1 0-1,0-1 1,-1 1 0,1-1 0,-1 0 0,-1-10 0,1 17-845,-1 1 0,0-1 0,0 0 0,0 1 0,-1-2 0,1 2 1,0-1-1,0 0 0,0 1 0,0-1 0,0 0 0,-1 1 0,1-1 0,-1 0 1,0-1-1,1 2 0,0 1 1,-1-1 0,1 1-1,0-1 1,0 0-1,-1 0 1,1 1 0,0-1-1,0 1 1,0-1 0,0 0-1,0 1 1,0-1-1,0 1 1,0-1 0,0 0-1,0 1 1,0-1 0,0 1-1,0-1 1,0 0 0,1 0-1,-1 1 1,0-1-1,0 1 1,1-1 0,-1 0-1,0 1 1,13 25 4267,-10-21-4158,1-1 1,-1 0 0,0 0-1,2-1 1,-2 2-1,1-2 1,6 4 0,-8-6-191,0 1 1,1-1 0,0 1 0,0-1-1,-1 0 1,1 0 0,0 0 0,0 0-1,0 0 1,0-1 0,0 0 0,0 1-1,0-1 1,1 0 0,-2 0 0,2 0-1,-1-1 1,0 1 0,0-1 0,-1 0-1,2 1 1,-1-1 0,5-3 0,-1-1 18,1 0 0,-1 0 0,-1-1 0,1 0 0,-1-1 0,0 1 0,-1-1 0,1 0 0,-1 0 0,0-1 0,4-9 0,-4 6 0,0 0 0,-1 0 0,0 0 0,0 0 0,-1-1 0,-1 1 0,0-2 0,0-10 0,-3 11-311,0 0 0,0-1-1,0 1 1,-2 1 0,0-1 0,0 0 0,-7-13 0,5 12-1359,-1 1-1,-1-1 0,-10-13 1,15 22 763,-1 1 1,0 0 0,0 0 0,1-1-1,-2 2 1,1-1 0,-4-2-1,6 5 864,1-1 0,-1 0 0,0 1-1,0 0 1,0 0 0,1-1 0,-2 1-1,1-1 1,1 1 0,-2 0 0,2 0-1,-1 0 1,0 0 0,0 0 0,0 0-1,0 0 1,0 0 0,1 1-1,-2-1 1,2 0 0,-1 1 0,-1-1-1,2 0 1,-1 0 0,0 1 0,1 0-1,-1-1 1,0 0 0,0 1 0,0 0-1,1-1 1,-1 1 0,1 0 0,-1-1-1,1 1 1,-2 1 0,0 3 43,-1 0 0,1 0 0,-1 0 0,1 0 0,1 0 0,-1 1 0,1-1 0,-1 1 0,2 0 0,-1-1 0,1 0 0,0 2 0,1 7 0,1 6 0,1-1 0,9 32 0,-7-33 0,1 0 0,1-1 0,2 0 0,-1 0 0,1-1 0,13 17 0,-17-25 0,0-2 0,1 1 0,0-1 0,0 0 0,1 0 0,-1 0 0,2-1 0,-2 0 0,2-1 0,0 1 0,0-1 0,-1 0 0,1-1 0,1 0 0,10 3 0,-15-6 0,-1 0 0,1 1 0,-1-1 0,1 0 0,-1 0 0,0-1 0,1 1 0,-1 0 0,1-1 0,-1 0 0,0 0 0,0 0 0,1 0 0,-1 0 0,5-4 0,-4 2 0,0 0 0,-1 0 0,1 0 0,0-1 0,-1 0 0,0 0 0,0 0 0,0 0 0,4-8 0,-2 3 0,-2 0 0,0-1 0,1 1 0,-1 0 0,-1-1 0,0 0 0,-1 0 0,0 0 0,-1 0 0,0-12 0,-2 12-40,1 0-1,-1 0 1,-6-18 0,6 23 336,0 1 0,0 0-1,0 0 1,-1-1 0,1 1 0,-1 0-1,0 0 1,0 0 0,-7-6-1,9 9-362,0 0 0,1 1 1,-2-1-1,1 0 0,1 1 0,-2-1 0,2 1 0,-2-1 0,1 1 0,0 0 0,0-1 0,0 1 0,0-1 0,0 1 0,0 0 0,0 0 0,-2 0 0,2 0 54,0 0-1,1 0 0,-1 1 0,0-1 0,1 1 0,-1-1 0,1 0 1,-1 0-1,1 1 0,-1-1 0,1 1 0,-1-1 0,1 0 0,0 1 1,-1 0-1,0-1 0,1 1 0,0-1 0,0 1 0,0-1 0,-1 2 1,-1 1 217,2 0 1,0-1-1,-1 1 1,0 0-1,1 0 1,0 0-1,0 0 1,0-1-1,1 1 1,-1 0-1,1 0 1,1 3-1,1 2 877,0-1-1,0 0 0,2 0 0,-1 0 0,0 0 1,0-1-1,2 0 0,-1 0 0,8 7 0,-9-10-611,0 0-1,0 1 1,1-1-1,0 0 0,-1-1 1,8 3-1,-9-3-468,1-1-1,-1 0 1,1-1-1,-1 1 1,1 0 0,0-1-1,-1 0 1,0 0-1,2 0 1,3-1 0,-1 0 0,-1-1 0,1 0 0,-1 0 0,0-1 0,1 0 0,-1 0 0,-1-1 0,11-6 0,10-12 0</inkml:trace>
  <inkml:trace contextRef="#ctx0" brushRef="#br0" timeOffset="12441.34">1822 3363 8192,'5'0'18022,"1"0"-18022</inkml:trace>
  <inkml:trace contextRef="#ctx0" brushRef="#br0" timeOffset="13018.89">2097 3477 8192,'0'-2'1354,"-1"-1"0,1 1 1,0-1-1,-1 1 1,1 0-1,-1-1 0,0 1 1,-1-3-1,2 4-958,0-1-1,-1 1 1,0 0 0,0 0 0,0 0 0,0 0-1,0 0 1,0 0 0,0 0 0,0 0 0,0 0-1,-2 0 1,2 0-366,-1 1 0,0-1 0,0 0 0,0 1 0,1 0 0,-1 0-1,0 0 1,1 0 0,-1 0 0,-1 0 0,1 0 0,1 0 0,-1 0 0,1 0 0,-1 1-1,0 0 1,0-1 0,0 1 0,1 0 0,-1-1 0,0 2 0,-2 0 0,0 2-30,0-2 0,0 3 0,1-2 0,-1 1 0,1-1 0,-1 1 0,1 1 0,0-1 0,0 1 0,1 0 0,0-1 0,0 1 0,0 0 0,0-1 0,1 1 0,-1 1 0,2-1 0,-2 10 0,2-10 0,0 0 0,0 0 0,0 0 0,0 0 0,1-1 0,0 2 0,-1-1 0,2-1 0,-1 1 0,1 0 0,0-1 0,0 1 0,0-1 0,1 0 0,0 1 0,0-1 0,-1 0 0,2-1 0,6 8 0,-2-5 0,0-2 0,0 1 0,1 0 0,-1-2 0,1 1 0,0-1 0,0 0 0,-1-1 0,2 0 0,0 0 0,-2 0 0,14-1 0,-11-1 0,0 0 0,1-1 0,-1 0 0,0 0 0,0-1 0,1-1 0,-1 0 0,-1-1 0,19-8 0,-23 9 0,-1-1 0,0 1 0,1-1 0,-2 0 0,1 0 0,-1-1 0,0 0 0,0 1 0,0-1 0,-1-1 0,1 1 0,-2 0 0,1-1 0,0 0 0,-1 1 0,0-1 0,0 0 0,-1 0 0,1 0 0,-2 0 0,1-1 0,0 1 0,-1 0 0,0 0 0,-1 0 0,0-1 0,1 1 0,-2 0 0,1 0 0,-1 0 0,-5-11 0,7 16 0,-1-1 0,0 1 0,0-1 0,0 1 0,0 0 0,-1-1 0,1 1 0,0 0 0,0-1 0,0 1 0,-1 0 0,0 0 0,-2-1 0,4 2 0,0 0 0,0 0 0,-1 0 0,1 0 0,0 0 0,0-1 0,0 1 0,0 0 0,-1 0 0,1 0 0,0 0 0,-1 0 0,1 0 0,0 0 0,0 0 0,0 0 0,-1 1 0,1-1 0,0 0 0,-1 0 0,1 0 0,0 0 0,0 0 0,0 0 0,0 0 0,0 0 0,-1 0 0,1 0 0,0 1 0,0-1 0,-1 0 0,1 1 0,0-1 0,0 1 0,0 0 0,0 0 0,-1 0 0,1 0 0,0 0 0,0 0 0,0-1 0,0 2 0,1-2 0,-1 1 0,0 0 0,0 0 0,0 1 0,2 1-64,-1 1 1,1 0-1,-1 0 0,1 0 1,0-1-1,1 1 1,-1-1-1,1 0 1,-1 1-1,1-2 1,0 2-1,0-2 1,0 1-1,1-1 1,-1 1-1,1-1 1,-1 0-1,1 0 1,4 1-1,-2 0-484,1-1 0,-1 0 0,1 0 1,-1-1-1,1 1 0,0-2 0,0 1 0,0-1 0,0 0 0,-1 0 1,8-1-1,-4-1-720,-1-1 1,0 0-1,1 0 0,-1-1 1,14-8-1,3-4-58</inkml:trace>
  <inkml:trace contextRef="#ctx0" brushRef="#br0" timeOffset="13175.77">2285 3192 8192,'2'0'18022,"3"0"-18022,2 0 0</inkml:trace>
  <inkml:trace contextRef="#ctx0" brushRef="#br0" timeOffset="14083.56">2559 3463 8192,'2'-14'9303,"4"1"-3711,13-12-2148,-10 16-3550,0 1 0,20-13 1,-20 16 105,-1 0 0,1 0 0,1 1 0,-2 0 0,2 1 0,16-4 0,-23 6 0,1 1 0,-1-1 0,1 1 0,-1 0 0,1 0 0,0 1 0,-1-1 0,0 0 0,8 3 0,-9-2 0,0-1 0,-1 2 0,1-2 0,0 2 0,0-1 0,0 0 0,0 1 0,-1-1 0,1 0 0,-1 1 0,1 0 0,-1-1 0,1 1 0,-1 0 0,0 0 0,2 4 0,-1-1 0,0 0 0,-1 1 0,2-1 0,-3 1 0,2-1 0,-2 1 0,1-1 0,-1 1 0,0 0 0,-1 5 0,-1 8 0,-10 31 0,7-32 0,-4 32 0,8-44 0,1 0 0,0 0 0,0 0 0,1 0 0,-1 0 0,1 0 0,0-1 0,1 1 0,3 9 0,2-1 25,1-1 0,0-1 0,1 0 0,0 1 1,1-2-1,14 13 0,-13-14-614,-1 1 0,0 0 0,-1 1 0,0 0 1,-1 0-1,12 24 0,-19-33 293,0-1 0,0 1 0,0 0 1,0 0-1,-1-1 0,0 2 0,1-2 0,-1 1 0,0 0 1,0 0-1,0 0 0,-1 0 0,1 0 0,0 0 1,-1-1-1,0 1 0,-2 4 0,1-3-208,0 0 1,-1-1-1,1 1 0,-1-1 1,0 0-1,0 1 0,0-2 1,0 1-1,-1 0 0,-6 4 0,1-2-221,1-1 0,-1 0-1,0-1 1,-14 5-1,14-6 831,-2 0-1,2 0 0,-18 0 0,22-2-104,-1 0 0,0 0 0,1-2 0,-2 2 0,2-2 0,0 1 0,-1-1 0,1 1 0,-1-2 0,1 1 0,0-1 0,0 1 0,0-2 0,1 1 0,-1-1 0,1 1 0,0-1 0,-1 0 0,1 0 0,1 0 0,-1-1 0,1 1 0,0-1 0,0 0 0,0 0 0,-2-7 0,1 0 0,0 1 0,1 0 0,0-1 0,0 1 0,2-1 0,0 0 0,0 1 0,1-1 0,0 0 0,1 0 0,1 1 0,2-13 0,1 3 0,2 1 0,1 0 0,0 1 0,14-25 0,51-70 0,-48 78 0,-2-1 0,26-54 0,-40 66 0,-10 19 0,-2 8 0,-5 10 0,3-3 207,0 1 1,1 0-1,0 0 1,1 0-1,0 0 1,0 0-1,1 0 1,1 1-1,0 18 1,1-25-173,0-1 0,0 0 1,0 1-1,1 0 1,0-1-1,-1 0 1,2 1-1,-2-1 1,2 1-1,0-1 1,-1 0-1,1 0 1,0 0-1,0 0 1,0 0-1,0-1 1,0 1-1,1 0 1,0 0-1,0-1 1,-1 0-1,2 0 1,-1 0-1,0 0 1,0 0-1,0-1 1,1 0-1,-1 1 1,0-1-1,1 0 1,-1-1-1,7 2 1,1-1 26,1-1 1,0 0 0,-1-1 0,1 0 0,-1 0 0,1-1 0,0-1 0,-1 0-1,0-1 1,0 0 0,0 0 0,-1-2 0,20-11 0,-1-4-63</inkml:trace>
  <inkml:trace contextRef="#ctx0" brushRef="#br0" timeOffset="15346">650 5246 8192,'0'-24'19355,"0"27"-19210,0 19-2970,1-2 4172,4 18-1753,1 1 1,19 62-1,36 73-2323,5-27-1690,-50-118 2057,1 0 0,38 47 0,-47-66 2042,0-1-1,0-1 0,1 0 0,-1-1 1,17 11-1,-22-16 285,2 0 0,-1 0 0,0 1 0,0-1 0,0-1 0,0 0 0,0 0 0,0 0 0,1 0 0,-1 0 0,1-1 0,-1 0 0,1 0 1,-1 0-1,0 0 0,1-1 0,6-2 0,-4 1 36,-1 0 0,1-2 0,-1 1 0,0-1 0,0 1 0,-1-1 0,2 0 0,-2-1 0,1 0 0,-2 0 0,1 0 0,0 0 0,7-11 0,0-4 0,-1 0 0,18-42 0,-12 18 0,-2 0 0,-3-1 0,-1-1 0,-2 1 0,4-76 0,-11 83 0,-3 1 0,0-1 0,-3 1 0,-1 0 0,-1 0 0,-3 0 0,-17-49 0,20 70 0,-1 1 0,-10-17 0,14 27 0,0-1 0,-2 2 0,2-2 0,-1 2 0,-1 0 0,1-1 0,-1 1 0,-6-5 0,9 8 0,-1-1 0,1 1 0,-1 0 0,1 0 0,-1 0 0,1 0 0,-1 0 0,0 1 0,0-1 0,1 1 0,-4-1 0,2 1 0,0 1 0,1 0 0,-2-1 0,1 1 0,-4 2 0</inkml:trace>
  <inkml:trace contextRef="#ctx0" brushRef="#br0" timeOffset="17604.9">1373 5403 8192,'0'-11'17381,"2"29"-16466,-2 7-1189,9 42 274,19 77 0,-26-138 0,-2-2 0,1-2 0,0 1 0,-1 1 0,1-2 0,0 1 0,0 0 0,0-1 0,1 1 0,-1 0 0,1-1 0,4 6 0,-6-8 0,0 0 0,1 0 0,-1 0 0,1 0 0,-1 0 0,0 0 0,1 0 0,-1 1 0,1-1 0,-1 0 0,0 0 0,1 0 0,-1-1 0,1 1 0,-1 0 0,0 0 0,1 0 0,0 0 0,-1 0 0,0 0 0,0 0 0,1 0 0,-1-1 0,1 1 0,-1 0 0,1-1 0,-1 1 0,0 0 0,0 0 0,1-1 0,-1 1 0,1-1 0,-1 1 0,0 0 0,0 0 0,0-1 0,0 0 0,10-16 0,-10 17 0,7-22-893,-1 1 1,0 0-1,4-32 1,-8 32-554,2 1 1,1-1-1,1 1 1,8-20 0,-13 37 842,0 0 1,0 1 0,1 0-1,-1 0 1,1-1 0,0 1-1,0 0 1,0 0-1,3-4 1,-4 6 568,0 0-1,0-1 1,-1 1 0,1-1-1,0 1 1,0 0 0,-1 0-1,2 0 1,-2 0 0,1 0-1,0-1 1,0 1 0,0 0-1,-1 0 1,1 1 0,0-1 0,0 0-1,0 0 1,-1 0 0,1 0-1,1 0 1,-2 1 0,1-1-1,0 1 1,-1-1 0,1 0-1,0 1 1,-1 0 0,1-1-1,0 0 1,-1 1 0,1 0-1,-1-1 1,1 2 0,33 38 34,-25-27 0,2 0 0,0 0 0,1-1 0,23 19 0,-31-29 0,0 0 0,-1 1 0,1-1 0,1 0 0,-1 0 0,0-1 0,0 0 0,0 1 0,1-2 0,-1 2 0,0-2 0,1 0 0,-1 1 0,1-1 0,-1-1 0,1 1 0,-1 0 0,0-1 0,0 0 0,1 0 0,-1 0 0,0-1 0,5-2 0,-2 1 365,0-1 1,0-1 0,0 1-1,-1-1 1,0 0 0,-1-1-1,1 1 1,-1-1-1,0 0 1,7-9 0,-9 10-64,1-1 1,-2 1 0,1 0 0,0-1-1,-1 0 1,0 1 0,0-1 0,-1 0-1,1 0 1,-2-1 0,2 1 0,-2 0-1,0-10 1,0 13-676,-1 1 0,0 0-1,1 0 1,0 0 0,-1 0-1,0 0 1,0 0 0,0 0 0,0 0-1,0 0 1,-1 1 0,1-1-1,-1 0 1,1 0 0,0 1 0,-3-2-1,2 1 194,-1 0 0,0 0 0,0 1-1,1 0 1,-2-1 0,1 1 0,0 0 0,0 1-1,0-1 1,-5 0 0,4 0 184,0 0 0,-1 1 0,1 0 0,0 0 0,-1 1 0,1 0 0,0-1 0,0 1 0,0 0 0,0 1 0,0-1 0,0 0 0,0 1 0,0 0 0,0 0 0,-5 5 0,4-2-7,1 0 1,0 0-1,0 0 0,1 0 1,0 1-1,0 0 1,0-1-1,1 1 1,0 0-1,0 0 0,0 0 1,0 0-1,2 0 1,-1 1-1,0-1 0,1 0 1,0 1-1,2 12 1,-2-15 9,1 1-1,0-1 1,0 0 0,1 1 0,-1-1 0,1 1 0,1-1 0,-1 0-1,0 0 1,0 0 0,7 6 0,-7-8 22,0 1 0,1-1 1,0 0-1,0 0 0,-1 0 0,2 0 1,-2-1-1,2 1 0,-1-1 0,0 0 1,0 1-1,1-2 0,-1 1 0,1 0 0,-1-1 1,0 0-1,5 1 0,-5-1 276,0-1 0,1 1 0,-1 0 0,0 0 0,0-2 0,0 2 0,0-1-1,0 0 1,0-1 0,0 1 0,0 0 0,0-1 0,-1 0 0,0 1 0,1-1 0,0 0 0,-1 0 0,0-1 0,0 1-1,0-1 1,0 1 0,0 0 0,0-1 0,0 0 0,-1 1 0,0-2 0,1-1 0,2-7 978,1 0 0,-3-1 0,1 1 0,-1 0 1,1-19-1,-2 8-1866,-1 0 0,-2 1 1,-1-1-1,0 1 1,-1 0-1,-10-29 0,-1 7-2450,-42-83-1,49 111 1926,-1 0 0,-1 0 0,0 1 1,-1 0-1,-19-20 0,28 33 1108,0 0-1,0 0 1,0 1 0,-1-1-1,1 1 1,-1-1 0,1 1-1,-5-2 1,7 3 0,-2 0 0,1 0 0,0 0 0,0 0 0,0 0 0,0 0 0,-1 0 0,2 0 0,-2 0 0,2 0 0,-2 0 0,1 0 0,0 0 0,0 1 0,0-1 0,-1 1 0,-1 1 0,1 0 0,0-1 0,1 1 0,-1 0 0,1 0 0,-1 0 0,0 0 0,1 1 0,-1-1 0,2 0 0,-2 1 0,2-1 0,-2 0 0,2 1 0,-1 0 0,0-1 0,1 3 0,-2 12 0,0 0 0,0 0 0,2 0 0,0 0 0,2 1 0,-1-2 0,2 1 0,0-1 0,7 18 0,-5-16 0,1 0 0,2-1 0,-1 0 0,2-1 0,1 1 0,-1-2 0,2 1 0,15 16 0,-20-26-4,1 0 1,-1-1 0,1 1 0,1-1-1,-2 0 1,3 0 0,-2-1 0,1 0-1,0-1 1,0 0 0,1 0 0,-1 0-1,1-1 1,11 1 0,-15-2 24,-1-1 1,1 0 0,-1 0 0,1 0-1,0-1 1,0 1 0,-1-1 0,1 0-1,-1-1 1,1 1 0,-1-1-1,1 0 1,-1 0 0,0 0 0,0-1-1,0 0 1,0 1 0,0-1 0,-1 0-1,1-1 1,-1 1 0,0-1-1,0 0 1,0 1 0,-1-1 0,1 0-1,2-7 1,0-2 982,0 1-1,-2-1 1,0 0-1,0 0 1,-1 0-1,-1-1 1,0 1 0,-1-1-1,-2-19 1,1 28 65,0-1 0,1 2 0,-2-2-1,-2-6 1,4 11-1023,0 0-1,0 1 0,-1-1 0,1 0 1,0 0-1,-1 1 0,1-1 0,0 0 1,0 1-1,-1 0 0,1-1 1,-1 0-1,0 1 0,1 0 0,0-1 1,-1 0-1,1 1 0,-1 0 0,1 0 1,-1-1-1,0 1 0,1-1 0,-1 1 1,0 0-1,1 0 0,0 0 1,-1 0-1,0 0 0,1-1 0,-1 1 1,0 0-1,1 0 0,-1 0 0,0 0 1,0 0-1,1 1 0,-1-1 0,0 0 1,1 0-1,-1 0 0,0 0 1,1 0-1,-1 1 0,0-1 0,0 1 1,0 1-46,-1-1 0,0 0 0,1 1 0,-1-1 0,1 1 0,0 0 0,0-1 0,0 1 0,0 0 0,0-1 0,0 1 0,0 0 0,1 0 0,-1 0 0,0 0 0,1 0 0,0 0 0,0 0 0,0 0 0,0 0 0,0 0 0,0 0 0,0 0 0,0 0 0,0 0 0,1 0 0,0 0 0,-1 0 0,1 0 0,0 0 0,1 3 0,0-1 0,0 1 0,0-1 0,1 0 0,0 0 0,0 0 0,0-1 0,1 1 0,-1-1 0,1 1 0,-1-1 0,2 0 0,5 4 0,-3-5 0,-1 0 0,1 0 0,-1 0 0,1-1 0,-1 0 0,1 0 0,0 0 0,0-1 0,0 0 0,0-1 0,-1 0 0,1 1 0,0-2 0,-1 1 0,1-1 0,-1 0 0,1-1 0,9-4 0,-11 4 0,0 1 0,-1-1 0,1-1 0,-1 2 0,-1-2 0,2 0 0,-1 1 0,-1-1 0,0 0 0,0 0 0,3-5 0,-4 6 0,0-1 0,-1 1 0,0-1 0,1 1 0,-1-1 0,0 0 0,0 0 0,-1 1 0,0-1 0,0 0 0,0 0 0,0 0 0,0 0 0,0 1 0,-1-1 0,-1-4 0,0 4 0,1 0 0,-1 1 0,0-1 0,0 0 0,0 1 0,-1 0 0,-4-6 0,7 8 0,-1 0 0,0 0 0,1 1 0,-1-2 0,0 2 0,1-1 0,-1 0 0,0 1 0,0-1 0,0 0 0,0 1 0,0 0 0,0-1 0,0 1 0,0-1 0,1 1 0,-2 0 0,2 0 0,-2-1 0,2 1 0,-2 0 0,1 0 0,0 0 0,0 0 0,0 0 0,0 0 0,0 0 0,0 1 0,0-1 0,0 0 0,0 0 0,0 0 0,0 1 0,-1 0 0,1-1 0,0 1 0,1 0 0,0-1 0,-1 1 0,0 0 0,1-1 0,0 1 0,-1 0 0,1-1 0,-1 1 0,1 0 0,0-1 0,0 1 0,0 0 0,0 0 0,0 0 0,0-1 0,-1 1 0,1 0 0,0-1 0,1 2 0,-1-2 0,0 1 0,0 0 0,0-1 0,0 1 0,0 0 0,1 0 0,-1 0 0,1-1 0,-1 1 0,0 0 0,0-1 0,1 1 0,0 0 0,-1 0 0,1-1 0,-1 0 0,1 1 0,1 0 0,1 2 0,0 0 0,0-1 0,1 1 0,0 0 0,-1-1 0,7 2 0,-3-2 0,0 0 0,-1 0 0,1-1 0,0 0 0,1 0 0,-2-1 0,1 0 0,8-1 0,-6 0 0,-1 1 0,0 0 0,0 1 0,14 2 0,-21-3 1,1 1-1,0 0 1,-1-1 0,1 1 0,0 0 0,-1 0 0,0 0 0,1 0 0,-1 0 0,0 1 0,1-2 0,-1 2 0,0-1 0,0 0-1,1 1 1,-2 0 0,1-1 0,0 0 0,-1 1 0,1 0 0,0 0 0,-1-1 0,1 1 0,0 2 0,0 6-37,0-1 1,0 1-1,-1 13 0,0-3-404,0-20 397,1 16-1016,1-1 0,0 0 0,4 17 0,-5-29 567,-1 1-1,2-1 1,-2 0-1,2 0 1,-1 0-1,1-1 1,-1 2-1,1-2 1,0 1-1,-1 0 0,1 0 1,1-1-1,-1 0 1,0 0-1,1 0 1,0 0-1,-1 0 1,1 0-1,0 0 1,0 0-1,6 2 1,-7-4 390,0 1 1,1-1 0,0 0 0,-1 0 0,1 0 0,-1 0 0,1-1-1,-1 1 1,1-1 0,0 0 0,-1 1 0,0-1 0,0 0 0,0 0 0,1 0-1,-1-1 1,0 1 0,0 0 0,0-1 0,0 1 0,0-1 0,1 0 0,-2 1-1,3-4 1,1-2 127,0 0 0,1-1 0,-2 1-1,1 0 1,-2-1 0,5-9 0,-2-4-26,0-1 0,-1 1 0,-1-1 0,-2 0 0,0 0 0,-1 0 0,-1 0 0,-3-30 0,-5-4 0,-3 0 0,-17-57 0,17 78 0,-23-58 0,31 88 0,0 0 0,0 0 0,1 0 0,-7-6 0,9 11 0,0 0 0,0-1 0,-1 1 0,1-1 0,-1 1 0,1 0 0,0 0 0,0-1 0,0 1 0,-1-1 0,1 1 0,-1 0 0,1 0 0,0 0 0,-1-1 0,1 1 0,-1 0 0,1 0 0,0-1 0,-1 1 0,1 0 0,-1 0 0,0 0 0,1 0 0,0 0 0,-1 0 0,1 0 0,-1 0 0,1 0 0,0 0 0,-1 0 0,1 0 0,-1 1 0,1-1 0,0 0 0,-1 0 0,1 1 0,-1-1 0,1 0 0,-1 0 0,0 2 0,0 0 0,0-1 0,0 1 0,0-1 0,1 1 0,-1 0 0,0 0 0,1 0 0,-1 2 0,-1 10 0,0 1 0,1-1 0,1 1 0,1 0 0,-1-1 0,7 27 0,27 88 0,-23-94-12,1-2 0,2 1-1,1-2 1,37 57 0,-43-75 348,1-1-1,1 0 1,0-1 0,1 0-1,19 14 1,-22-20 304,0 0 0,1 0 0,-1-1 0,1 0 0,0-1 0,0 0-1,0-1 1,1 0 0,13 2 0,-20-4-768,0-1-1,-1 1 1,1-1 0,-1 0-1,1 0 1,0-1 0,-1 1-1,0-1 1,1 0-1,0 0 1,-1 0 0,1 0-1,-1 0 1,1-1 0,-2 0-1,2 1 1,3-4-1,-3 1-190,0 1-1,-1 0 1,0-1-1,0-1 0,0 1 1,0 0-1,0 0 0,-1 0 1,0-1-1,0 1 0,2-7 1,-1-1-195,0 0 0,-1 0 1,0 0-1,-1-1 1,0-12-1,-5-26 1390,3 49-877,1 1-1,0 0 1,0-1 0,-1 0 0,1 1-1,-1-1 1,1 1 0,-1 0 0,0-1 0,0 1-1,1 0 1,-3-2 0,3 3 13,0-1 1,0 1-1,0 0 0,0 0 1,-1 0-1,1 0 0,0 0 1,0 0-1,0 0 0,0 0 1,0 0-1,0 0 0,0 0 1,0 0-1,0 0 1,0 0-1,0 0 0,0 0 1,0 0-1,0 0 0,0 0 1,-1 0-1,1 0 0,0 0 1,0 0-1,0 0 0,0 1 1,0-1-1,0 0 0,0 0 1,0 0-1,-1 0 1,1 0-1,0 0 0,0 0 1,0 0-1,0 0 0,0 0 1,0 1-1,0-1 0,0 0 1,0 0-1,0 0 0,0 0 1,0 0-1,0 0 0,0 0 1,0 0-1,0 0 1,0 0-1,0 0 0,0 0 1,0 0-1,0 1 0,1 12 2121,9 19-1882,-8-28 568,0 1 0,1-1 0,0 1-1,0-1 1,-1 0 0,9 7 0,-8-7-271,1-1 0,0 0 0,0 0 0,0 0 0,1-1 0,-1 1 0,1-1 0,0 0 1,0-1-1,-1 0 0,1 1 0,0-1 0,0 0 0,5 0 0,-4 0-439,0-1 0,0 0 0,0 0 0,0-1 0,-1 0 0,2 1 0,-2-2 0,1 1 0,0-1 0,7-3 0,-9 3-264,0 0 0,0-1 0,-1 1 0,1 0 0,-1-1 0,0 0 0,0 0 0,0 0 0,0 0 1,0 0-1,-1-1 0,1 0 0,-1 1 0,0-1 0,2-4 0,10-36 2457,-14 47-2302,0 0 0,0 0 0,1 1 0,-1-1 0,0 0 0,2 0 0,-2 0 0,2 1 0,-2-2 0,2 2 0,-1-1 0,1-1 0,0 2 0,0-2 0,0 1 0,0-1 0,0 1 0,5 3 0,-5-4 0,0-1 0,-1 0 0,1 1 0,0-1 0,0 0 0,0 0 0,0 0 0,0 0 0,0-1 0,0 1 0,1 0 0,-1-1 0,0 0 0,0 0 0,1 0 0,-1 0 0,0 0 0,1 0 0,-1 0 0,0 0 0,1-1 0,-1 0 0,0 1 0,0-1 0,0 0 0,0 0 0,0 0 0,0 0 0,2-2 0,1 0 0,0-1 0,-1 0 0,0 0 0,0 0 0,0 0 0,0-1 0,0 0 0,2-6 0,21-45 0,-2 5 0,-14 38 0,-11 13 0,0-1 0,0 1 0,1-1 0,-1 1 0,1 0 0,-1 0 0,0 0 0,1 0 0,-1 0 0,1 0 0,-1-1 0,0 1 0,1 0 0,0 0 0,-1 0 0,0 0 0,0 0 0,1 0 0,1 1 0,0-1 0,-1 1 0,0 0 0,1 1 0,0-2 0,-1 2 0,0-1 0,1 0 0,-1 1 0,1 0 0,0 2 0,2 1 0,2 1 147,0 0 0,-1 0 0,2 0 0,-1-1 0,1 0 0,0 0 0,1-1 0,-2 0 0,14 5 0,-12-5-685,2-1 1,-1 0-1,0-1 0,1-1 0,0 0 1,-1 1-1,1-2 0,-1 0 1,2 0-1,-2-1 0,1 0 0,14-4 1,-16 3-97,0 0 1,0-1-1,0 0 0,0-1 1,-1 0-1,1 0 1,-1 0-1,0-1 0,0 0 1,0-1-1,-1 1 1,0-1-1,0 0 1,5-9-1,-6 9 361,-1 0 1,0-1-1,-1 0 1,0 0-1,0 0 1,0 0-1,-1-1 0,-1 1 1,1-1-1,0-12 1,-1 11 272,-1-1 0,0 2 0,-1-2 0,1 1 0,-2 0 0,-4-15 0,6 21 0,-2-1 0,1 1 0,-1-1 0,0 1 0,0-1 0,1 1 0,-1 0 0,-1 0 0,1 0 0,-1 1 0,1-1 0,-1 0 0,0 1 0,0-1 0,0 1 0,0 0 0,0 0 0,-7-3 0,9 4 0,-1 1 0,0-1 0,0 0 0,0 1 0,0 0 0,0 0 0,0-1 0,0 1 0,0 0 0,-1 0 0,1 1 0,0-1 0,0 0 0,0 0 0,0 1 0,0 0 0,0-1 0,0 1 0,0 0 0,1 0 0,-1 0 0,0 0 0,0 0 0,1 1 0,-1-1 0,0 0 0,1 1 0,0-1 0,-1 1 0,1 0 0,0-1 0,0 1 0,0-1 0,0 1 0,-1 4 0,-1-1 0,1 0 0,0 1 0,1-1 0,-1 1 0,1 0 0,0-1 0,0 1 0,1 0 0,0 0 0,0 0 0,1 9 0,1-9 0,-1 0 0,1-1 0,0 0 0,0 1 0,1-1 0,0 1 0,-1-2 0,2 2 0,-1-2 0,1 1 0,0-1 0,0 1 0,0-1 0,0 0 0,1-1 0,-1 1 0,1 0 0,0-2 0,1 2 0,-2-1 0,2-1 0,-1 0 0,1 0 0,0 0 0,-1 0 0,1-2 0,7 2 0,-8-1 0,1 0 0,1-1 0,-1 0 0,0 0 0,-1 0 0,1-1 0,1 0 0,-2 0 0,1 0 0,0-1 0,0 0 0,-1 0 0,1-1 0,-1 0 0,0 0 0,0 0 0,0 0 0,0-1 0,0 1 0,0-1 0,-1 0 0,0-1 0,0 1 0,-1-1 0,1 1 0,5-11 0,-7 10 0,0 0 0,0 0 0,0 0 0,-1 0 0,1 0 0,-2-1 0,2 1 0,-2-1 0,0 1 0,0 0 0,-1-10 0,-5-18 0</inkml:trace>
  <inkml:trace contextRef="#ctx0" brushRef="#br0" timeOffset="17712.95">3007 4561 8192,'-9'0'16796,"18"-7"-16796,2-3 0</inkml:trace>
  <inkml:trace contextRef="#ctx0" brushRef="#br0" timeOffset="19129.22">6999 82 8192,'10'-12'2745,"-4"9"-2635,0-1-1,0 1 1,10-5 0,-8 4 651,10-3 3205,24-8-1,22-1-239,-37 12-4098,-2 2 1,2 0-1,-1 1 0,1 1 1,40 6-1,-50-3-137,0 1-1,-1 1 1,1 0 0,-1 1 0,0 1-1,-1 0 1,1 1 0,-1 0-1,-1 2 1,17 13 0,-12-6-439,0 1 0,-1 0 1,-2 1-1,0 1 0,-1 0 1,17 31-1,-8-5 742,-2 0 0,-3 1 0,-1 1 0,-3 1 0,10 53 0,25 256 306,-29-58-100,0 11 0,-11-216 0,29 112 0,-32-178 0,1 0 0,2 0 0,1 0 0,20 37 0,-26-57 0,1 0 0,0 0 0,1-1 0,0 0 0,0 0 0,17 13 0,-19-17 0,1-1 0,0 1 0,0 0 0,0-2 0,0 1 0,1 0 0,0-1 0,-1 0 0,1 0 0,0-1 0,12 1 0,-5-2 0,-1 0 0,2-1 0,-2-1 0,1 0 0,0-1 0,-1 0 0,0-1 0,14-7 0,-9 3 0,-2 0 0,0 0 0,0-1 0,0-1 0,21-19 0,-37 29 0,20-19 252,-20 19-128,1-2-1,0 2 1,0-1-1,0 0 1,-1 0-1,0 0 1,1 0-1,0 0 1,-1 0-1,0 0 1,1 0-1,-1 0 1,1 0-1,-1 0 1,0-1-1,0 2 1,0-3 0,0 2-59,0 1 0,0 0 1,-1 0-1,1-1 1,-1 1-1,1-1 1,0 1-1,0 0 1,-1 0-1,1 0 0,-1-1 1,1 1-1,0 0 1,0 0-1,-1-1 1,1 1-1,-1 0 1,1 0-1,0 0 0,-1 0 1,1-1-1,-1 1 1,1 0-1,0 0 1,-1 0-1,1 0 1,-1 1-1,0-1 0,1 0 1,0 0-1,-1 0 1,1 0-1,-1 1 1,1-1-1,-19 6 2720,18-5-2491,-6 1 367,0 2 0,1-2 0,-1 2 0,1 0 0,0 0 1,1 1-1,-2-1 0,2 1 0,0 0 0,0 0 0,-6 9 0,8-10-529,0 1 0,1 0 0,-1-1 0,1 2 0,0-1 0,0 0 0,0 0 0,1 1 0,0-1 0,1 0 0,-1 1 0,0-1 0,1 1 0,0-1 0,1 1 0,0 5 0,1 0-173,1 0 0,0 0 1,2 0-1,-1-1 0,0 1 1,2-1-1,-1 0 0,12 14 1,7 6-1015,34 34 0,151 128-3644,29 28-2613,-209-188 6757,-1 1 1,-1 1-1,-2 1 0,-2 2 1,26 54-1,-38-66 533,-1 0-1,-1 2 1,-2-1-1,-1 1 0,-1 0 1,-1 0-1,-1 0 1,-2 0-1,-3 48 1,-3-38 24,-1-2 1,-1 1-1,-2 0 1,-1-2 0,-3 1-1,-28 58 1,11-42-3,0-1 0,-3-1 0,-3-2 0,-1-1 0,-2-2 0,-2-3 0,-2 0 0,-2-3 0,-2-1 0,-1-2 0,-2-3 0,0-2 0,-2-2 0,-76 29 0,87-42 0,-1-2 0,-1-2 0,0-1 0,0-3 0,0-1 0,0-2 0,-1-2 0,-54-4 0,-19-12 0</inkml:trace>
  <inkml:trace contextRef="#ctx0" brushRef="#br0" timeOffset="20189.48">347 1623 8192,'-1'-4'1746,"1"0"0,0-1 1,-1 1-1,0 0 1,1 0-1,-3-4 0,2 5-1048,-1 0 0,1-1-1,-1 1 1,0 0-1,0 0 1,-4-5 0,3 6-655,1 0 1,0 0-1,0 0 1,-1 0-1,1 0 1,-1 1-1,0-1 1,1 1-1,-1 0 1,0-1-1,0 2 1,1-1-1,-1 0 1,0 1-1,0-1 1,0 0 0,0 1-1,0 0 1,0 0-1,-4 1 1,3 0-44,2-1 0,-2 1 0,1 0 0,-1 0 0,2 0 0,-2 1 0,1-1 0,1 1 0,-1 0 0,0 0 0,1 0 0,-1 0 0,0 0 0,-2 4 0,-3 3 0,1 0 0,-12 20 0,1 5 0,1-1 0,2 2 0,-12 43 0,-23 116 0,30-96 0,4 1 0,6 1 0,3 1 0,4-1 0,5 0 0,23 148 0,103 302 26,-30-165-48,-78-284-260,14 189 0,-33-264-679,-2 2 0,0 0 0,-1-1 0,-2 0 0,-15 53 0,15-67 249,0-1-1,-1 0 1,-1 0-1,0 0 1,-1-1-1,1 0 1,-2 0-1,0 0 1,0-1-1,-1 0 1,-1-1-1,1 0 1,-2 0-1,-14 9 1,19-15 579,0 0 0,-1 0 1,0 0-1,0 0 0,0-1 0,-7 1 1,12-3 123,1 1 1,-1-1 0,0 0-1,0 0 1,0 0 0,1 0-1,-1 0 1,0-1 0,0 1-1,1-1 1,0 1 0,-1 0-1,-2-2 1,3 2 9,1-1 1,-1 0-1,0 1 1,1-1-1,-1 0 1,0 1-1,1-1 0,0 0 1,-1 0-1,0 0 1,1 0-1,0 1 0,-1-1 1,1 0-1,0 0 1,-1 0-1,1 0 0,0 0 1,0 0-1,0 0 1,0 1-1,0-2 1,0 2-1,0-1 0,1-2 1,0 0 143,-1 0 0,1 1 0,0-1 0,1 0 0,-1 0 0,0 1 0,1 0 0,0-1 1,-1 0-1,1 1 0,0 0 0,0 0 0,0 0 0,1 0 0,-1 0 0,1 0 0,2-1 0,0-1 685,1 2 0,-1-2 0,1 2 0,0 0 0,0-1 0,0 1 0,8-1 0,-11 3-441,-1-1 0,1 1 0,0-1 0,-1 1 1,0 1-1,1-1 0,0 0 0,0 1 0,-1-1 0,0 1 0,1 0 0,-1-1 0,1 1 0,-1 0 0,0 1 0,1-1 0,1 2 0,-1-1-222,0 0-1,0 1 0,-1 0 1,1 0-1,-1 1 0,0-2 1,0 2-1,0-1 0,0 0 1,1 6-1,2 6-277,-1 0-1,-1 0 1,0 1-1,1 28 0,-3 14-1220,-6 76-1,-19 59-1400,13-108 782,-6 48 487,-28 241-4746,36-258 5062,8 142 0,4-212 1042,10 54 0,-9-82 107,0 0-1,1-1 1,1 0 0,1 1 0,14 26 0,-16-37-1,-1 0 0,2 1 0,-1-1 0,1-1 0,0 1 0,0-1 0,1 0 0,13 9 0,-14-11 0,0-1 0,-1 0 0,2 0 0,-1 0 0,1-1 0,-1 0 0,1 0 0,0-1 0,0 0 0,0 0 0,12 0 0,-6-3 0,-1 1 0,1-1 0,-1-1 0,1 1 0,-1-2 0,14-6 0,71-37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58.1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8192,'-1'0'0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28:58.47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6.6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40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97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8.5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28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8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50.4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06.03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 17 24575,'-8'0'0,"-1"-7"0,0-3-8191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0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67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24575,'0'3'0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1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24575,'7'0'0,"3"0"-8191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24575,'7'0'0,"3"0"-8191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5.06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31.43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85 0 24575,'-4'8'0,"-8"8"0,-9 7 0,-1 5 0,6-1 0,7-6-8191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20:40.5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4466 279 24575,'-7'0'0,"4"0"0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16:31.13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2733 428 24575,'-3'6'0,"-2"13"0,-9 12 0,-8 14 0,-2 13 0,-6 9 0,-4 7 0,4-3 0,-4-4 0,5-6 0,7-8 0,7-15 0,6-22 0</inkml:trace>
  <inkml:trace contextRef="#ctx0" brushRef="#br0" timeOffset="233.86">2367 543 24575,'0'-3'0,"7"-1"0,12 9 0,12 15 0,11 13 0,5 11 0,0 4 0,3 4 0,-1 0 0,-2-9 0,-6-5 0,-3-10 0,-8-9-8191</inkml:trace>
  <inkml:trace contextRef="#ctx0" brushRef="#br0" timeOffset="1275.27">135 659 24575,'0'-1'0,"1"1"0,-1 0 0,0-1 0,0 1 0,0 0 0,0-1 0,0 1 0,0-1 0,0 1 0,0 0 0,0-1 0,0 1 0,0 0 0,0-1 0,0 1 0,0-1 0,0 1 0,0 0 0,-1-1 0,1 1 0,0 0 0,0-1 0,0 1 0,0 0 0,-1-1 0,1 1 0,0 0 0,-1-1 0,1 1 0,0 0 0,0 0 0,-1-1 0,1 1 0,0 0 0,-1 0 0,1 0 0,0 0 0,-1-1 0,1 1 0,-1 0 0,1 0 0,0 0 0,-1 0 0,1 0 0,0 0 0,-1 0 0,1 0 0,-1 0 0,0 1 0,0-1 0,0 1 0,0 0 0,0-1 0,0 1 0,0 0 0,0 0 0,1 0 0,-1 0 0,0 0 0,0 0 0,1 0 0,-1 0 0,1 0 0,-1 0 0,1 0 0,-1 2 0,-5 20 0,2 0 0,0 0 0,0 43 0,6 71 0,-1-124 0,0 0 0,1 0 0,0 0 0,1 0 0,0-1 0,1 0 0,7 15 0,-10-24 0,0 0 0,1 0 0,-1 0 0,1 0 0,0-1 0,0 1 0,0-1 0,0 1 0,0-1 0,1 0 0,-1 0 0,1 0 0,0 0 0,-1 0 0,1 0 0,0-1 0,0 1 0,0-1 0,0 0 0,0 0 0,0 0 0,1 0 0,-1-1 0,0 1 0,0-1 0,0 0 0,1 0 0,-1 0 0,0 0 0,0-1 0,1 1 0,-1-1 0,0 0 0,4-1 0,4-3 9,0 1 1,-1-2-1,1 0 0,-1 0 0,0-1 1,0 0-1,-1 0 0,0-1 0,0-1 0,-1 1 1,0-1-1,10-17 0,-4 5-306,0-1 0,-2 0 0,-1-1 0,16-47 0,-12 16-6529</inkml:trace>
  <inkml:trace contextRef="#ctx0" brushRef="#br0" timeOffset="1417.23">1 543 24575,'3'0'0,"8"0"0,2 0-8191</inkml:trace>
  <inkml:trace contextRef="#ctx0" brushRef="#br0" timeOffset="2504.86">405 794 24575,'0'-2'0,"2"5"0,3 11 0,4 20 0,-3-8 0,15 36 0,-21-61 0,0-1 0,0 1 0,0-1 0,0 1 0,0-1 0,0 1 0,0-1 0,1 1 0,-1-1 0,0 0 0,0 1 0,1-1 0,-1 1 0,0-1 0,0 0 0,1 1 0,-1-1 0,0 1 0,1-1 0,-1 0 0,1 0 0,-1 1 0,0-1 0,1 0 0,-1 0 0,1 1 0,-1-1 0,1 0 0,-1 0 0,0 0 0,1 0 0,-1 0 0,1 0 0,-1 0 0,1 0 0,0 0 0,11-15 0,3-30 0,-9 6 0,8-34 0,-13 69 0,0 0 0,1 0 0,0-1 0,-1 1 0,1 0 0,1 0 0,-1 1 0,0-1 0,1 0 0,0 1 0,0-1 0,5-4 0,-7 7 0,0 1 0,1-1 0,-1 0 0,0 1 0,0-1 0,1 0 0,-1 1 0,0 0 0,1-1 0,-1 1 0,0 0 0,1 0 0,-1-1 0,1 1 0,-1 0 0,0 1 0,1-1 0,-1 0 0,1 0 0,-1 0 0,0 1 0,1-1 0,-1 1 0,0-1 0,0 1 0,1 0 0,-1-1 0,0 1 0,0 0 0,0 0 0,0 0 0,0 0 0,0 0 0,0 0 0,0 0 0,0 0 0,0 0 0,1 2 0,3 6 0,1 0 0,-1 0 0,-1 0 0,4 11 0,-5-12 0,8 27 0,-7-20 0,1-1 0,9 20 0,-13-31 0,0-1 0,0 0 0,1 1 0,-1-1 0,0 0 0,1 0 0,0 0 0,-1 0 0,1 0 0,0-1 0,0 1 0,0-1 0,0 1 0,1-1 0,-1 1 0,0-1 0,0 0 0,1 0 0,-1 0 0,4 0 0,-5-1 0,1 0 0,-1 0 0,0 0 0,1 0 0,-1 0 0,1-1 0,-1 1 0,1-1 0,-1 1 0,0-1 0,1 1 0,-1-1 0,0 0 0,0 0 0,1 1 0,-1-1 0,0 0 0,0 0 0,0 0 0,0-1 0,0 1 0,0 0 0,1-2 0,17-34 0,-17 32 0,17-52 0,-17 46 0,1-1 0,1 1 0,0 0 0,0 1 0,1-1 0,11-15 0,-16 26 0,0-1 0,0 1 0,0 0 0,1-1 0,-1 1 0,0-1 0,0 1 0,1 0 0,-1 0 0,0-1 0,0 1 0,1 0 0,-1-1 0,0 1 0,1 0 0,-1 0 0,1 0 0,-1-1 0,0 1 0,1 0 0,-1 0 0,1 0 0,-1 0 0,0 0 0,1 0 0,-1 0 0,1 0 0,-1 0 0,1 0 0,-1 0 0,0 0 0,1 0 0,-1 0 0,1 0 0,-1 0 0,0 0 0,1 0 0,-1 1 0,1-1 0,-1 0 0,0 0 0,1 1 0,-1-1 0,0 0 0,1 0 0,-1 1 0,0-1 0,0 0 0,1 1 0,-1-1 0,0 0 0,0 1 0,1-1 0,-1 1 0,0-1 0,0 0 0,0 1 0,11 32 0,-8-20 0,2-1 0,0-1 0,0 1 0,1-1 0,1 0 0,0 0 0,0 0 0,1-1 0,13 13 0,-18-20 0,0 0 0,0 0 0,0-1 0,0 1 0,1 0 0,-1-1 0,1 0 0,-1 0 0,1 0 0,0-1 0,0 1 0,0-1 0,0 0 0,0 0 0,0 0 0,0-1 0,1 1 0,-1-1 0,0 0 0,0 0 0,0 0 0,0-1 0,1 0 0,-1 0 0,0 0 0,0 0 0,0 0 0,0-1 0,4-2 0,1-2 0,0-1 0,0 0 0,-1 0 0,0 0 0,-1-1 0,0-1 0,0 1 0,0-1 0,-1 0 0,-1-1 0,0 1 0,8-20 0,-7 13 0,0 0 0,-2 0 0,0 0 0,0 0 0,-2-1 0,0 1 0,0-29 0,-8 24 0,4 15 0,3 10 0,6 6 0,-1-1 0,2 0 0,-1 0 0,1 0 0,1-1 0,-1-1 0,1 1 0,17 9 0,13 14 0,-21-15 0,31 35 0,-44-45 0,-1 1 0,1-1 0,-1 1 0,0-1 0,-1 1 0,1 0 0,-1 0 0,-1 1 0,4 14 0,-6-19 0,0 0 0,0 0 0,0 0 0,0 0 0,-1 0 0,1 0 0,-1 0 0,0 0 0,0 0 0,0-1 0,-1 1 0,1 0 0,0 0 0,-1-1 0,0 1 0,0-1 0,1 0 0,-2 1 0,1-1 0,0 0 0,0 0 0,-1 0 0,1-1 0,-1 1 0,1 0 0,-1-1 0,0 0 0,1 0 0,-6 2 0,-3 1 0,0 0 0,0-1 0,0-1 0,0 0 0,0 0 0,-20 0 0,22-2-151,1-1-1,-1 0 0,1-1 0,-1 0 1,1 0-1,0 0 0,0-1 1,-9-5-1,-14-9-6674</inkml:trace>
  <inkml:trace contextRef="#ctx0" brushRef="#br0" timeOffset="3284.24">1386 659 24575,'0'9'0,"0"3"0,0 0 0,0-1 0,1 1 0,1 0 0,4 14 0,-5-23 0,0 1 0,0-1 0,1 0 0,-1 0 0,1-1 0,0 1 0,0 0 0,0 0 0,0-1 0,0 1 0,1-1 0,-1 0 0,1 0 0,-1 0 0,1 0 0,0 0 0,0-1 0,0 1 0,0-1 0,0 1 0,0-1 0,0 0 0,6 1 0,-6-2 0,1 1 0,0-1 0,0 0 0,-1 1 0,1-2 0,0 1 0,0 0 0,-1-1 0,1 1 0,0-1 0,-1 0 0,1-1 0,-1 1 0,1 0 0,-1-1 0,0 0 0,1 0 0,-1 0 0,0 0 0,0-1 0,0 1 0,-1-1 0,1 1 0,2-5 0,5-6 0,-1-1 0,0 0 0,-1 0 0,8-20 0,3-5 0,-15 38 0,-3 8 0,0 11 0,-1-5 0,0-3 0,0-1 0,0 1 0,1-1 0,0 1 0,3 11 0,-3-18 0,0 0 0,1 0 0,-1 0 0,0 0 0,1-1 0,0 1 0,0-1 0,0 1 0,0-1 0,0 0 0,0 1 0,0-1 0,1 0 0,-1-1 0,1 1 0,-1 0 0,1-1 0,0 1 0,0-1 0,0 0 0,2 1 0,3 0 0,-1 0 0,0 0 0,1-1 0,-1 0 0,1-1 0,-1 1 0,1-1 0,0-1 0,-1 1 0,1-2 0,-1 1 0,0-1 0,1 0 0,-1 0 0,0-1 0,0 0 0,0 0 0,-1 0 0,1-1 0,-1 0 0,0-1 0,0 1 0,0-1 0,0-1 0,-1 1 0,8-11 0,-2 2 0,0-1 0,-1-1 0,-1 1 0,0-2 0,-2 1 0,1-1 0,-2 0 0,-1-1 0,0 1 0,3-24 0,0-25 0,-3 1 0,-3-1 0,-2 1 0,-4-1 0,-15-85 0,18 145 0,-1-1 0,1 0 0,-1 1 0,-1-1 0,-3-6 0,6 13 0,0-1 0,0 1 0,0-1 0,0 1 0,0-1 0,-1 1 0,1-1 0,0 1 0,-1-1 0,1 1 0,0 0 0,-1-1 0,1 1 0,0 0 0,-1-1 0,1 1 0,0 0 0,-1-1 0,1 1 0,-1 0 0,1 0 0,-1-1 0,1 1 0,-1 0 0,1 0 0,-1 0 0,1 0 0,-1 0 0,1 0 0,-1 0 0,1 0 0,-1 0 0,1 0 0,-1 0 0,1 0 0,-1 0 0,1 0 0,-1 0 0,1 1 0,-1-1 0,1 0 0,-1 0 0,1 0 0,-1 1 0,1-1 0,0 0 0,-1 1 0,1-1 0,0 0 0,-1 1 0,0 0 0,-13 25 0,7-1 0,1 0 0,0 0 0,2 0 0,1 0 0,1 1 0,2-1 0,0 1 0,1-1 0,2 1 0,1-1 0,0 0 0,11 29 0,-12-46 0,1 0 0,0 0 0,0 0 0,1-1 0,0 1 0,0-1 0,1-1 0,-1 1 0,2-1 0,-1 0 0,1 0 0,0-1 0,0 0 0,0 0 0,15 7 0,-17-10 0,1 0 0,-1 0 0,1 0 0,-1-1 0,1 0 0,0 0 0,0 0 0,-1-1 0,1 1 0,0-2 0,0 1 0,0 0 0,0-1 0,-1 0 0,1-1 0,0 1 0,-1-1 0,1 0 0,-1-1 0,0 1 0,0-1 0,0 0 0,0 0 0,7-6 0,-5 3 0,-1 0 0,0-1 0,0 1 0,-1-1 0,0 0 0,6-10 0,-9 14 0,-1-1 0,1 1 0,0-1 0,-1 0 0,0 0 0,1 1 0,-2-1 0,1 0 0,0 0 0,-1 0 0,0 0 0,0 0 0,0 0 0,0 0 0,-1-6 0,1 10 0,0-1 0,0 1 0,0-1 0,0 0 0,-1 1 0,1-1 0,0 1 0,0-1 0,0 0 0,0 1 0,-1-1 0,1 1 0,0-1 0,-1 1 0,1-1 0,0 1 0,-1-1 0,1 1 0,-1-1 0,1 1 0,-1-1 0,1 1 0,-1 0 0,1-1 0,-1 1 0,1 0 0,-1 0 0,1-1 0,-1 1 0,1 0 0,-1 0 0,0 0 0,1-1 0,-1 1 0,1 0 0,-1 0 0,0 0 0,1 0 0,-1 0 0,0 0 0,1 1 0,-2-1 0,2 0 0,-1 1 0,1-1 0,-1 1 0,1 0 0,-1-1 0,1 1 0,0-1 0,-1 1 0,1 0 0,0-1 0,-1 1 0,1 0 0,0-1 0,0 1 0,0 0 0,0-1 0,0 1 0,-1 0 0,1 0 0,0-1 0,1 1 0,-1 0 0,0-1 0,0 1 0,0 0 0,0 0 0,0-1 0,1 1 0,-1 0 0,0-1 0,1 1 0,-1-1 0,1 1 0,-1 0 0,1 0 0,1 2 0,1-1 0,0 1 0,-1-1 0,1 1 0,0-1 0,0 0 0,0 0 0,0 0 0,1 0 0,-1-1 0,0 0 0,1 1 0,-1-1 0,1 0 0,0-1 0,-1 1 0,6 0 0,4 0 0,0-1 0,0 0 0,21-3 0,19-6-1365,-6-3-5461</inkml:trace>
  <inkml:trace contextRef="#ctx0" brushRef="#br0" timeOffset="3998.96">482 1505 24575,'13'0'0,"30"-13"0,38-14 0,44-9 0,34-12 0,28-7 0,29-1 0,4 0-929,-13 8 929,-22 7 0,-35 10 0,-44 3 0,-33 8 228,-33 9-228,-22 7-7490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29:4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0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3:42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8413 424 24575,'3'0'0,"-1"0"0,0 0 0,1-1 0,-1 1 0,0-1 0,1 1 0,-1-1 0,0 0 0,0 0 0,0 0 0,0-1 0,0 1 0,0 0 0,0-1 0,0 1 0,-1-1 0,1 1 0,0-1 0,-1 0 0,1 0 0,-1 0 0,0 0 0,0 0 0,0 0 0,0 0 0,0 0 0,0 0 0,0-1 0,-1 1 0,1 0 0,-1-1 0,1 1 0,-1-4 0,1 0 0,-1 1 0,0-1 0,0 1 0,0-1 0,-1 0 0,0 1 0,0-1 0,0 1 0,-1-1 0,1 1 0,-1 0 0,-1 0 0,-3-7 0,1 5 0,0 1 0,-1 1 0,0-1 0,0 1 0,-1 0 0,0 0 0,1 1 0,-2-1 0,1 2 0,0-1 0,-1 1 0,1 0 0,-1 1 0,0-1 0,0 2 0,-15-3 0,5 2 0,0 1 0,-1 1 0,1 0 0,0 2 0,-1 0 0,-26 6 0,26-3 0,1 2 0,0 0 0,0 0 0,0 2 0,1 0 0,0 1 0,1 1 0,0 0 0,0 2 0,-22 22 0,19-15 0,1 2 0,1 0 0,1 1 0,1 1 0,1 0 0,1 1 0,-11 29 0,13-27 0,2 0 0,1 0 0,1 1 0,1-1 0,1 1 0,2 1 0,1-1 0,1 1 0,1-1 0,2 0 0,1 1 0,1-1 0,1 0 0,2-1 0,16 47 0,-17-61 0,1-1 0,0 1 0,0-1 0,1 0 0,1-1 0,0 0 0,0-1 0,1 1 0,0-2 0,1 1 0,0-2 0,1 1 0,22 11 0,-18-13 0,0 0 0,0-1 0,0-1 0,1-1 0,0-1 0,0 0 0,0-1 0,0 0 0,0-2 0,24-1 0,-15-2 0,-1-1 0,0-1 0,0-1 0,0-1 0,-1-1 0,0-1 0,0-1 0,-1-2 0,-1 0 0,0-1 0,0-1 0,-2-1 0,0-1 0,0-1 0,20-24 0,-22 18 0,-1-1 0,-1-1 0,-1 0 0,-1-1 0,-1 0 0,-2-1 0,0-1 0,-2 0 0,-2 0 0,0-1 0,-2 0 0,0 0 0,-3 0 0,0-1 0,-2 1 0,-1-1 0,-1 1 0,-2 0 0,-1 0 0,-1 0 0,-1 1 0,-2 0 0,-1 0 0,-13-27 0,23 54 0,-1 1 0,1-1 0,0 1 0,0-1 0,0 0 0,0 1 0,0-1 0,-1 1 0,1-1 0,0 1 0,0 0 0,-1-1 0,1 1 0,0-1 0,-1 1 0,1-1 0,0 1 0,-1 0 0,1-1 0,-1 1 0,1 0 0,-1-1 0,1 1 0,-1 0 0,1 0 0,-1-1 0,1 1 0,-1 0 0,1 0 0,-1 0 0,1 0 0,-1 0 0,1 0 0,-1 0 0,1 0 0,-1 0 0,0 0 0,1 0 0,-1 0 0,-10 24 0,4 42 0,7 20 0,4-1 0,4 1 0,4-2 0,3 1 0,4-2 0,32 87 0,-43-143 24,2-1 0,1 0 0,0 0 0,26 37 0,-34-57-86,1 0 0,0 0 0,0-1 0,1 0 1,-1 0-1,1 0 0,0 0 0,1-1 0,-1 0 0,1 0 0,0 0 0,0-1 1,0 0-1,0 0 0,0 0 0,1-1 0,0 0 0,-1 0 0,1-1 0,0 0 1,0 0-1,-1 0 0,12-1 0,32-13-6764</inkml:trace>
  <inkml:trace contextRef="#ctx0" brushRef="#br0" timeOffset="661.93">8382 957 24575,'-1'0'0,"1"1"0,-1-1 0,0 1 0,1 0 0,-1-1 0,1 1 0,-1-1 0,1 1 0,-1 0 0,1 0 0,0-1 0,-1 1 0,1 0 0,0 0 0,-1-1 0,1 1 0,0 0 0,0 0 0,0 0 0,0-1 0,0 1 0,0 0 0,0 0 0,0 0 0,0 0 0,0-1 0,0 1 0,0 0 0,1 0 0,-1 0 0,0-1 0,0 1 0,1 0 0,-1 0 0,1-1 0,-1 1 0,1 0 0,-1-1 0,1 1 0,-1-1 0,1 1 0,0 0 0,-1-1 0,1 1 0,0-1 0,-1 0 0,1 1 0,0-1 0,0 0 0,-1 1 0,1-1 0,2 1 0,48 13 0,-17-11 0,0 0 0,0-2 0,0-2 0,1-1 0,-1-1 0,-1-2 0,1-2 0,-1-1 0,41-15 0,-49 14 0,0-1 0,-1-1 0,0-1 0,-1-1 0,0-2 0,-1 0 0,0-1 0,-2-1 0,0-1 0,-1-1 0,0 0 0,20-29 0,-35 41 0,0 0 0,0 0 0,0-1 0,-1 1 0,0-1 0,-1 1 0,1-1 0,1-15 0,-4 21 0,0 1 0,0-1 0,0 0 0,0 0 0,0 1 0,0-1 0,-1 0 0,1 1 0,0-1 0,-1 1 0,0-1 0,1 0 0,-1 1 0,0-1 0,0 1 0,0 0 0,0-1 0,-2-1 0,2 1 0,-1 1 0,0 0 0,0 0 0,0 0 0,-1 0 0,1 1 0,0-1 0,0 1 0,0-1 0,0 1 0,-1 0 0,1 0 0,0 0 0,0 0 0,-1 0 0,1 0 0,0 0 0,-3 2 0,-9 1 0,1 0 0,0 2 0,0 0 0,0 0 0,-15 10 0,22-13 0,1 1 0,0 0 0,0 0 0,0 1 0,1-1 0,-1 1 0,1 0 0,0 0 0,0 1 0,0-1 0,0 1 0,1 0 0,0 0 0,0 0 0,-3 7 0,6-11 0,0 1 0,0-1 0,0 0 0,0 0 0,0 1 0,0-1 0,1 0 0,-1 0 0,0 1 0,1-1 0,-1 0 0,1 0 0,-1 0 0,1 1 0,-1-1 0,1 0 0,0 0 0,0 0 0,0 0 0,-1 0 0,1 0 0,0-1 0,0 1 0,0 0 0,0 0 0,1-1 0,-1 1 0,0 0 0,0-1 0,0 1 0,0-1 0,1 0 0,-1 1 0,0-1 0,2 0 0,51 9 0,-48-8 0,119-1 0,-98-2 0,0 1 0,0 2 0,1 0 0,-1 2 0,35 8 0,-59-10 0,0 0 0,0 0 0,-1 1 0,1-1 0,0 1 0,0-1 0,-1 1 0,1 0 0,-1 0 0,1 0 0,-1 0 0,0 1 0,0-1 0,0 1 0,0-1 0,-1 1 0,1-1 0,0 1 0,-1 0 0,0 0 0,0 0 0,0 0 0,0 0 0,0 0 0,-1 0 0,1 0 0,-1 0 0,0 1 0,0 2 0,-1 12 0,0 0 0,-1 0 0,-2 0 0,-5 21 0,-3 16 0,11-51 0,1 0 0,-1 0 0,1 0 0,0 1 0,0-1 0,1 0 0,-1 0 0,1 0 0,0 0 0,0 1 0,0-1 0,1 0 0,-1-1 0,1 1 0,0 0 0,0 0 0,1-1 0,-1 1 0,5 4 0,-3-4 0,1 0 0,0-1 0,0 0 0,0 0 0,0 0 0,0-1 0,0 1 0,1-1 0,-1-1 0,1 1 0,0-1 0,10 1 0,2 0 0,0-2 0,0 0 0,0-1 0,-1-1 0,1-1 0,0 0 0,-1-1 0,24-9 0,-21 5 0,-1-1 0,0-1 0,0 0 0,-1-2 0,0 0 0,-1-1 0,-1 0 0,0-2 0,-1 1 0,0-2 0,-1 0 0,15-24 0,-15 16 0,0 0 0,-2-1 0,-1 0 0,-1-1 0,-1 0 0,-1 0 0,-2-1 0,0 0 0,1-31 0,-6 45 0,7-113 0,-8 116 0,-1 0 0,0 0 0,0 0 0,-1 1 0,0-1 0,-1 0 0,0 1 0,0-1 0,-1 1 0,-5-9 0,9 17 0,-1-1 0,0 1 0,1-1 0,-1 1 0,0 0 0,0-1 0,0 1 0,0 0 0,0 0 0,0-1 0,0 1 0,-1 0 0,1 0 0,0 0 0,-1 1 0,1-1 0,0 0 0,-1 0 0,1 1 0,-1-1 0,1 1 0,-1-1 0,0 1 0,1 0 0,-1 0 0,1 0 0,-1-1 0,1 1 0,-1 1 0,0-1 0,1 0 0,-1 0 0,1 1 0,-1-1 0,1 1 0,-1-1 0,1 1 0,-1-1 0,1 1 0,-1 0 0,-1 1 0,-2 2 0,1 1 0,-1-1 0,1 1 0,1 0 0,-1 0 0,0 0 0,1 0 0,0 0 0,1 1 0,-3 6 0,-5 16 0,2 0 0,1 1 0,2 0 0,1 0 0,1 0 0,1 1 0,1-1 0,2 1 0,1-1 0,2 1 0,0-1 0,2 0 0,13 37 0,-12-47 0,0 0 0,2 0 0,0-1 0,1 0 0,1-1 0,0 0 0,1-1 0,28 29 0,-28-35 0,-1 0 0,1-1 0,1 0 0,-1-1 0,2 0 0,-1-1 0,1-1 0,0 0 0,0-1 0,1 0 0,-1-2 0,31 5 0,-19-6-195,0-2 0,0 0 0,0-2 0,0-1 0,0-1 0,37-11 0,36-16-6631</inkml:trace>
  <inkml:trace contextRef="#ctx0" brushRef="#br0" timeOffset="912.9">10762 926 24575,'22'-6'0,"22"-1"0,26-10 0,16-3 0,15-8 0,7 1 0,-5 4 0,-14 7 0,-23 6-8191</inkml:trace>
  <inkml:trace contextRef="#ctx0" brushRef="#br0" timeOffset="1130.4">11044 487 24575,'0'11'0,"0"14"0,0 18 0,6 24 0,1 27 0,0 19 0,9 5 0,2-10 0,8-15 0,11-22 0,-1-29 0,-7-21-8191</inkml:trace>
  <inkml:trace contextRef="#ctx0" brushRef="#br0" timeOffset="1615.92">11733 550 24575,'70'1'0,"0"-3"0,0-3 0,117-24 0,-169 25 0,1-1 0,-1-1 0,-1 0 0,1-1 0,-1-1 0,0-1 0,-1-1 0,0 0 0,0-1 0,-1 0 0,-1-1 0,0-1 0,0-1 0,-2 0 0,1 0 0,-2-1 0,0-1 0,12-23 0,-11 13 0,4-10 0,-16 36 0,0 0 0,1 0 0,-1 0 0,0 0 0,0 0 0,0 0 0,0 0 0,0 0 0,0 0 0,0 0 0,0 0 0,0 0 0,0 0 0,0 1 0,0-1 0,0 0 0,0 0 0,0 0 0,0 0 0,0 0 0,1 0 0,-1 0 0,0 0 0,0 0 0,0 0 0,0 0 0,0 0 0,0 0 0,0 0 0,0 0 0,0 0 0,0 0 0,0 0 0,1 0 0,-1 0 0,0 0 0,0 0 0,0 0 0,0 0 0,0 0 0,0 0 0,0 0 0,0-1 0,0 1 0,0 0 0,0 0 0,0 0 0,1 0 0,-5 24 0,-15 77 0,5 1 0,-1 155 0,15-196 0,3 0 0,2 0 0,4 0 0,2-1 0,29 94 0,-34-136 30,2 0 0,-1-1 0,21 32 0,-24-43-154,1 0 0,0 1 1,0-1-1,1-1 0,-1 1 0,1-1 1,0 0-1,1 0 0,-1-1 0,1 0 1,12 5-1,15 0-6702</inkml:trace>
  <inkml:trace contextRef="#ctx0" brushRef="#br0" timeOffset="2396.66">5751 1333 24575,'0'-11'0,"16"-8"0,27-2 0,26-7 0,24 0 0,12 6 0,4 6 0,-6 6 0,-15 16 0,-23 16 0,-22 6-8191</inkml:trace>
  <inkml:trace contextRef="#ctx0" brushRef="#br0" timeOffset="2537.73">6158 1677 24575,'6'0'0,"17"0"0,26-5 0,26-13 0,22-13 0,10-13 0,-2 1 0,-19-2 0,-25 6-8191</inkml:trace>
  <inkml:trace contextRef="#ctx0" brushRef="#br0" timeOffset="2738.58">6534 988 24575,'11'0'0,"24"0"0,28 6 0,36 11 0,21 15 0,1 17 0,-19 11 0,-28 17 0,-26 27 0,-58 38 0,-60 38 0,-45 21 0,-18-9 0,-8-36 0,20-46-8191</inkml:trace>
  <inkml:trace contextRef="#ctx0" brushRef="#br0" timeOffset="3833.69">19 644 24575,'-19'-5'0,"27"-7"0,35-12 0,351-164 0,-317 144 0,-1-3 0,132-111 0,-197 148 0,0 0 0,-1-1 0,17-23 0,-25 31 0,0 0 0,1 0 0,-2-1 0,1 1 0,0-1 0,-1 1 0,1-1 0,-1 0 0,0 1 0,0-1 0,-1 0 0,1 0 0,-1 0 0,0 0 0,0 0 0,0 1 0,0-1 0,-2-8 0,1 11 0,1 0 0,0 0 0,0 0 0,0 0 0,-1 0 0,1 0 0,0 0 0,-1 0 0,1 0 0,-1 0 0,0 0 0,1 0 0,-1 0 0,0 0 0,1 0 0,-1 1 0,0-1 0,0 0 0,0 0 0,0 1 0,1-1 0,-1 1 0,0-1 0,0 1 0,0-1 0,0 1 0,-1 0 0,1-1 0,0 1 0,0 0 0,0 0 0,0 0 0,0-1 0,0 1 0,0 1 0,0-1 0,0 0 0,-1 0 0,1 0 0,0 0 0,0 1 0,0-1 0,0 1 0,0-1 0,0 1 0,0-1 0,0 1 0,0-1 0,0 1 0,1 0 0,-2 0 0,-4 4 0,1 0 0,0 0 0,1 0 0,-1 0 0,1 1 0,0-1 0,-5 11 0,-9 23 0,2 1 0,1 0 0,3 1 0,1 1 0,-7 58 0,-11 219 0,27-275 0,-2 17 0,6 84 0,-2-130 0,2-1 0,0 1 0,1-1 0,0 0 0,1 0 0,0 0 0,2 0 0,-1-1 0,2 0 0,-1 0 0,13 16 0,-16-25-68,1 0 0,-1 0-1,1 0 1,0 0 0,0-1 0,0 0-1,1 0 1,-1 0 0,1 0 0,-1-1-1,1 1 1,0-1 0,0-1 0,0 1-1,0-1 1,0 1 0,1-2-1,-1 1 1,9 0 0,29-9-6758</inkml:trace>
  <inkml:trace contextRef="#ctx0" brushRef="#br0" timeOffset="5005.35">1554 1051 24575,'0'2'0,"0"-1"0,0 1 0,1 0 0,-1 0 0,1-1 0,-1 1 0,1 0 0,-1 0 0,1-1 0,0 1 0,0-1 0,0 1 0,0-1 0,0 1 0,0-1 0,0 0 0,0 1 0,1-1 0,-1 0 0,0 0 0,1 0 0,-1 0 0,1 0 0,0 0 0,-1 0 0,1-1 0,0 1 0,-1 0 0,1-1 0,0 1 0,-1-1 0,1 0 0,0 0 0,0 0 0,0 0 0,-1 0 0,4 0 0,0 0 0,0 0 0,-1-1 0,1 0 0,0 1 0,-1-1 0,1-1 0,-1 1 0,1-1 0,-1 0 0,0 0 0,0 0 0,1 0 0,4-5 0,-1-2 0,-1 0 0,0 0 0,0-1 0,-1 0 0,-1 0 0,0-1 0,0 0 0,-1 0 0,0 0 0,-1 0 0,0 0 0,-1-1 0,0 1 0,0-20 0,-1 11 0,-1 1 0,-1-1 0,-1 1 0,0-1 0,-2 1 0,0 0 0,-14-36 0,15 45 0,-2 1 0,1-1 0,-1 1 0,-1 1 0,0-1 0,0 1 0,0 0 0,-1 0 0,-1 1 0,-14-13 0,18 18 0,0-1 0,0 1 0,-1-1 0,0 1 0,1 1 0,-1-1 0,0 1 0,1-1 0,-1 1 0,0 1 0,0-1 0,0 1 0,0 0 0,0 0 0,0 0 0,0 1 0,0-1 0,0 1 0,0 0 0,0 1 0,1-1 0,-1 1 0,1 0 0,-9 5 0,-10 7 0,0 2 0,1 1 0,1 0 0,0 2 0,1 0 0,2 1 0,0 1 0,-21 31 0,-3 12 0,-61 127 0,-27 103 0,111-241 0,1-1 0,4 2 0,-15 97 0,28-137 0,0 0 0,0 0 0,1 1 0,1-1 0,1 0 0,0 0 0,6 24 0,-6-34 0,-1 0 0,1 1 0,0-1 0,0-1 0,0 1 0,0 0 0,1 0 0,-1-1 0,1 1 0,0-1 0,0 0 0,0 0 0,1 0 0,-1-1 0,1 1 0,0-1 0,-1 1 0,1-1 0,0 0 0,0-1 0,0 1 0,1-1 0,-1 0 0,0 0 0,0 0 0,1 0 0,7-1 0,2-1 0,-1 0 0,1-1 0,-1-1 0,0 0 0,0-1 0,0 0 0,-1-1 0,1-1 0,-1 0 0,0 0 0,-1-1 0,1-1 0,-1 0 0,-1 0 0,19-19 0,-5 2 0,-1-1 0,0-1 0,-2-1 0,-2-1 0,17-31 0,34-91 0,-56 132 0,-8 32 0,-4 51 0,-2-38 0,0-20 0,0-1 0,1 1 0,0 0 0,0 0 0,1 0 0,0-1 0,0 1 0,0-1 0,1 0 0,-1 1 0,1-1 0,1 0 0,-1 0 0,1-1 0,-1 1 0,1-1 0,1 0 0,-1 0 0,0 0 0,1 0 0,0-1 0,0 0 0,0 0 0,8 3 0,-5-3 0,1-1 0,0 0 0,-1 0 0,1-1 0,0 0 0,0-1 0,0 0 0,0 0 0,0-1 0,-1 0 0,1 0 0,0-1 0,-1 0 0,1-1 0,13-6 0,7-5 0,-1-1 0,0-1 0,-1-2 0,-1 0 0,-1-2 0,-1-1 0,-1-1 0,0-1 0,-2-1 0,-1 0 0,0-2 0,-2 0 0,15-30 0,-11 14 0,-2-2 0,-1 0 0,-3 0 0,-1-2 0,-3 0 0,-1 0 0,-3-1 0,4-56 0,-9-62 0,-3 146 0,-2 0 0,0 0 0,-1 0 0,-1 1 0,-1-1 0,-10-24 0,15 42 0,-1 0 0,1 0 0,0 0 0,0 0 0,-1 0 0,1 0 0,-1 0 0,1 0 0,-1 0 0,1 0 0,-1 0 0,1 0 0,-1 0 0,0 1 0,0-1 0,1 0 0,-1 0 0,0 1 0,0-1 0,0 1 0,0-1 0,0 0 0,0 1 0,1 0 0,-1-1 0,0 1 0,-1 0 0,1-1 0,0 1 0,0 0 0,0 0 0,0 0 0,0 0 0,0 0 0,-1 0 0,0 2 0,0-1 0,0 1 0,0-1 0,0 1 0,0 0 0,0 0 0,1 0 0,-1 0 0,1 0 0,-1 0 0,1 1 0,0-1 0,0 0 0,-1 4 0,-7 17 0,1 1 0,1 1 0,1 0 0,-4 46 0,1 109 0,9-159 0,-1 50 0,3 0 0,3 0 0,3-1 0,26 105 0,-25-143 0,2-1 0,1 0 0,1 0 0,35 56 0,-37-70 0,2 0 0,0 0 0,1-1 0,1-1 0,0 0 0,1-1 0,1-1 0,30 19 0,-35-25 0,0 0 0,1-2 0,-1 1 0,1-2 0,1 0 0,-1 0 0,0-1 0,1-1 0,0 0 0,-1-1 0,1 0 0,0-1 0,0-1 0,-1 0 0,1-1 0,0 0 0,17-7 0,-19 6 0,-1-2 0,-1 0 0,1 0 0,0-1 0,-1 0 0,0-1 0,-1 0 0,0 0 0,0-1 0,0-1 0,-1 1 0,0-1 0,-1-1 0,0 1 0,0-1 0,-1 0 0,-1-1 0,1 0 0,-2 0 0,5-13 0,-3 3 0,0 1 0,-1-1 0,-2 1 0,0-1 0,-1 0 0,-1-1 0,-1 1 0,-1 0 0,0 0 0,-2 0 0,-1 0 0,0 1 0,-9-25 0,12 42 0,0 0 0,-1 1 0,1-1 0,-1 1 0,1-1 0,-1 1 0,0 0 0,0 0 0,0 0 0,0 0 0,-4-3 0,6 4 0,-1 1 0,0-1 0,0 1 0,0 0 0,0-1 0,0 1 0,0 0 0,0-1 0,1 1 0,-1 0 0,0 0 0,0 0 0,0 0 0,0 0 0,0 0 0,0 0 0,0 0 0,0 1 0,0-1 0,0 0 0,0 0 0,-1 2 0,0-1 0,0 0 0,0 1 0,1 0 0,-1-1 0,1 1 0,0 0 0,0 0 0,-1 0 0,1 0 0,0 0 0,0 0 0,1 0 0,-1 0 0,0 0 0,1 0 0,-1 1 0,1-1 0,0 0 0,0 0 0,0 1 0,0-1 0,0 0 0,0 0 0,1 1 0,0 2 0,0 0 0,-1 0 0,2 1 0,-1-1 0,0 0 0,1-1 0,0 1 0,0 0 0,1 0 0,-1-1 0,1 1 0,0-1 0,0 0 0,1 0 0,-1 0 0,1 0 0,0-1 0,0 0 0,0 1 0,0-1 0,1-1 0,-1 1 0,1-1 0,-1 1 0,1-1 0,0-1 0,0 1 0,0-1 0,0 1 0,0-2 0,1 1 0,-1 0 0,0-1 0,0 0 0,7-1 0,1 0 0,1-1 0,0 0 0,-1-2 0,1 1 0,-1-1 0,0-1 0,0-1 0,-1 1 0,1-2 0,-1 0 0,20-16 0,-10 3 0,-2 0 0,0-2 0,-1 0 0,-1-1 0,-2-1 0,0-1 0,-1 0 0,-2-1 0,-1-1 0,12-36 0,0-12 0,-3-2 0,16-123 0,-26 137 0,-3 0 0,-3 0 0,-3-1 0,-8-87 0,6 147 0,-1 1 0,1 0 0,-1-1 0,0 1 0,1 0 0,-1 0 0,-1-1 0,1 1 0,0 0 0,-4-5 0,4 8 0,1 0 0,0 0 0,-1-1 0,1 1 0,-1 0 0,1 0 0,-1 0 0,1 0 0,0 0 0,-1 0 0,1 0 0,-1 0 0,1 0 0,-1 0 0,1 0 0,-1 0 0,1 0 0,0 0 0,-1 0 0,1 1 0,-1-1 0,1 0 0,-1 0 0,1 0 0,0 1 0,-1-1 0,1 0 0,0 1 0,-1-1 0,1 0 0,0 1 0,-1-1 0,1 0 0,0 1 0,0-1 0,-1 0 0,1 1 0,0-1 0,0 1 0,0-1 0,-1 1 0,-4 10 0,0 1 0,1-1 0,0 1 0,-4 16 0,-10 64 0,3 0 0,5 1 0,1 101 0,10-119 0,3 1 0,4-1 0,3 0 0,27 99 0,-31-148 0,2-1 0,1 1 0,1-1 0,1-1 0,1 0 0,1-1 0,1 0 0,1-1 0,1-1 0,37 35 0,-40-44 0,0-1 0,1 0 0,0-1 0,1-1 0,0 0 0,0-1 0,1-1 0,0-1 0,1 0 0,-1-1 0,1-1 0,0 0 0,0-2 0,0 0 0,1-1 0,35-2 0,-31-2 0,-1-1 0,0-1 0,0-1 0,-1-1 0,0-1 0,0 0 0,0-2 0,-1 0 0,-1-2 0,0 0 0,0-1 0,-1-1 0,-1 0 0,-1-2 0,25-28 0,-20 19 0,-1-1 0,-1-1 0,-2 0 0,-1-1 0,-1-1 0,-1-1 0,-2 0 0,-1-1 0,-1 0 0,7-39 0,-14 49 0,0 1 0,-2-1 0,0-32 0,-1 48 0,0 1 0,-1-1 0,1 1 0,-1-1 0,0 1 0,0 0 0,0-1 0,0 1 0,-1 0 0,0 0 0,0 0 0,0 0 0,0 0 0,0 0 0,-1 1 0,0-1 0,0 1 0,0-1 0,0 1 0,0 0 0,-1 0 0,-4-2 0,7 4 0,-1 0 0,0 1 0,0-1 0,0 0 0,0 1 0,0 0 0,0-1 0,0 1 0,0 0 0,0 0 0,0 0 0,0 0 0,0 1 0,0-1 0,0 0 0,0 1 0,0-1 0,0 1 0,0 0 0,0 0 0,-3 1 0,1 1 0,0 1 0,0-1 0,0 1 0,0-1 0,1 1 0,0 0 0,-1 0 0,-3 7 0,-2 7 0,0 0 0,1 0 0,-9 31 0,8-21 0,2 0 0,1 1 0,1 0 0,1 0 0,2 0 0,1 0 0,1 1 0,6 40 0,-5-58 0,2 0 0,0-1 0,0 1 0,1-1 0,0 1 0,1-1 0,0-1 0,1 1 0,0-1 0,1 0 0,0 0 0,1-1 0,0 0 0,0 0 0,1-1 0,0 0 0,0 0 0,1-1 0,0 0 0,0-1 0,1 0 0,0-1 0,15 6 0,2-2 11,0-2 0,1-1 0,0-1-1,0-1 1,0-2 0,0 0 0,0-3 0,44-4-1,0-6-497,0-3-1,80-27 1,61-30-6339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29.31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1838 905 24575,'-4'141'0,"-24"151"0,-42 134 0,-23 212 0,92-631 0,0 11 0,1-40 0,14-475 32,41-3-2011,-19 311 1546,9 1 0,9 3-1,106-249 1,-136 378 433,2 1 0,59-88 0,-81 137-8,-1 1-1,1 0 1,0 0 0,1 0 0,-1 1 0,1 0 0,0 0-1,0 0 1,0 0 0,8-4 0,-11 8 13,-1-1 0,0 1 0,1 0 0,-1-1 0,1 1 0,-1 0 0,1 0 0,-1 0 0,1 0 0,-1 0 0,1 0 0,-1 0 0,1 1 0,-1-1 0,1 0 0,-1 1 0,3 0 0,-2 1 25,1 0 0,-1-1 0,0 1 0,1 0 0,-1 0 0,0 1 0,0-1 0,-1 0 0,1 1 0,0-1 0,2 5 0,5 14 332,0 0-1,-1 1 0,-1 0 0,-1 0 0,-1 1 0,2 24 1,5 145 429,-12-142-791,-3-1 0,-2 0 0,-2-1 0,-2 1 0,-2-1 0,-2-1 0,-2 0 0,-2-1 0,-3-1 0,-1-1 0,-2 0 0,-2-2 0,-2-1 0,-2-1 0,-1-1 0,-50 49 0,46-54 0,-1-1 0,-2-1 0,-2-2 0,0-2 0,-2-2 0,-50 25 0,33-28 0,54-21 0,0-1 0,-1 0 0,1 0 0,0-1 0,0 1 0,-1-1 0,1 0 0,0 0 0,0-1 0,-9-1 0,12 2 0,0 0 0,-1-1 0,1 1 0,0-1 0,0 1 0,0-1 0,-1 1 0,1-1 0,0 0 0,0 1 0,0-1 0,0 0 0,0 0 0,1 0 0,-1 0 0,0 0 0,0 0 0,0 0 0,1 0 0,-1 0 0,1 0 0,-1 0 0,1-1 0,-1 1 0,1 0 0,0 0 0,-1 0 0,1-1 0,0 1 0,0 0 0,0-1 0,0 1 0,0 0 0,0 0 0,0-1 0,1 1 0,-1 0 0,0 0 0,1-2 0,1-2 0,0 1 0,0-1 0,0 1 0,1 0 0,-1 0 0,1 0 0,0 0 0,0 1 0,5-6 0,-3 5 0,-1 1 0,1 0 0,0-1 0,-1 2 0,1-1 0,1 0 0,-1 1 0,0 0 0,1 0 0,-1 1 0,0 0 0,1 0 0,0 0 0,-1 0 0,1 1 0,0 0 0,-1 0 0,1 0 0,0 1 0,-1 0 0,1 0 0,-1 1 0,7 2 0,2 1 0,-1 1 0,0 0 0,0 2 0,0-1 0,-1 1 0,0 1 0,-1 0 0,14 14 0,2 6 0,-1 0 0,38 58 0,34 75 0,-56-89 0,-19-35 0,124 191 0,-129-205 0,0-1 0,2-1 0,1-1 0,1-1 0,0-1 0,1-1 0,29 17 0,-42-29 0,0 0 0,1-1 0,-1 0 0,1-1 0,0 0 0,1-1 0,-1 0 0,0-1 0,1 0 0,-1-1 0,1 0 0,0-1 0,-1 0 0,1-1 0,0 0 0,-1-1 0,1 0 0,-1-1 0,0 0 0,0-1 0,0 0 0,0-1 0,12-8 0,-6 2-151,0-1-1,-1-1 0,0 0 0,-2-1 1,1-1-1,-2 0 0,0-1 1,17-27-1,19-43-6674</inkml:trace>
  <inkml:trace contextRef="#ctx0" brushRef="#br0" timeOffset="1532.05">3046 1690 24575,'0'-29'0,"-2"1"0,0-1 0,-11-44 0,11 63 0,0 1 0,-1-1 0,-1 1 0,1 0 0,-1 0 0,-1 0 0,0 0 0,0 1 0,-1 0 0,0 0 0,0 0 0,-1 1 0,0-1 0,0 2 0,-15-12 0,19 16 0,1 1 0,-1-1 0,0 1 0,0 0 0,1 0 0,-1 0 0,0 0 0,0 1 0,0-1 0,0 1 0,0-1 0,0 1 0,0 0 0,0 0 0,0 0 0,0 1 0,0-1 0,-5 3 0,3-2 0,0 2 0,1-1 0,0 0 0,0 1 0,0 0 0,0 0 0,0 0 0,0 1 0,1-1 0,-5 7 0,-3 4 0,2 1 0,0 0 0,1 1 0,0-1 0,-7 26 0,2 2 0,2 0 0,1 1 0,3 0 0,2 0 0,0 75 0,5-112 0,0 1 0,1 0 0,0 0 0,0-1 0,1 1 0,0-1 0,1 1 0,5 13 0,-6-18 0,0 0 0,-1-1 0,1 1 0,0 0 0,0-1 0,1 0 0,-1 1 0,0-1 0,1 0 0,-1 0 0,1-1 0,0 1 0,0 0 0,-1-1 0,1 1 0,0-1 0,0 0 0,1 0 0,-1-1 0,0 1 0,0 0 0,0-1 0,5 0 0,-1 0 0,0-1 0,0 0 0,-1 0 0,1-1 0,0 0 0,-1 0 0,1 0 0,-1-1 0,1 0 0,-1 0 0,0-1 0,-1 0 0,1 0 0,-1 0 0,1-1 0,-1 1 0,4-7 0,5-4 0,-2 0 0,0-2 0,-1 1 0,15-30 0,-14 21 0,-1 0 0,-2-1 0,0 0 0,-2 0 0,7-50 0,-15 99 0,-1-3 0,1 0 0,1 1 0,1-1 0,4 24 0,-4-40 0,-1 0 0,1 0 0,0 0 0,1 0 0,-1 0 0,1-1 0,-1 1 0,1 0 0,0-1 0,1 1 0,-1-1 0,1 0 0,-1 0 0,1 0 0,0 0 0,0 0 0,0 0 0,0-1 0,1 1 0,-1-1 0,1 0 0,-1 0 0,1-1 0,0 1 0,0-1 0,8 2 0,-5-2 0,1-1 0,0 1 0,-1-2 0,1 1 0,0-1 0,-1 0 0,1-1 0,-1 0 0,1 0 0,-1-1 0,0 0 0,0 0 0,0 0 0,0-1 0,-1 0 0,10-8 0,0-1 0,0 0 0,-1-2 0,0 0 0,23-31 0,-16 13 0,26-53 0,-1 2 0,-47 83 0,1-1 0,0 1 0,0 0 0,0 0 0,0 0 0,0-1 0,0 1 0,0 0 0,0 0 0,0 0 0,1 1 0,0-2 0,-1 2 0,-1 0 0,0 0 0,1 0 0,-1 0 0,0 0 0,1 0 0,-1 0 0,1 0 0,-1 0 0,0 0 0,1 0 0,-1 0 0,0 0 0,1 0 0,-1 0 0,0 0 0,1 1 0,-1-1 0,0 0 0,0 0 0,1 0 0,-1 1 0,0-1 0,0 0 0,1 0 0,-1 1 0,0-1 0,0 0 0,1 1 0,-1-1 0,0 1 0,2 4 0,0 0 0,0 0 0,-1 0 0,1 0 0,0 8 0,0 0 0,3 9 0,1 0 0,1-1 0,12 28 0,-15-40 0,1 0 0,0-1 0,1 1 0,0-1 0,0 0 0,0 0 0,1-1 0,1 0 0,14 12 0,-18-17 0,0 1 0,0-1 0,0 0 0,1 0 0,-1-1 0,1 1 0,-1-1 0,1 0 0,-1 0 0,1-1 0,0 1 0,-1-1 0,1 0 0,0 0 0,-1-1 0,1 1 0,0-1 0,-1 0 0,1 0 0,-1-1 0,5-1 0,5-3 0,-1-1 0,0 0 0,0-1 0,-1 0 0,18-16 0,13-16 0,-2-3 0,-2-1 0,51-75 0,-28 36 0,-51 69 0,-7 7 0,1 0 0,0 1 0,1-1 0,-1 1 0,1 0 0,0 0 0,1 1 0,-1 0 0,1 0 0,13-7 0,-19 12 0,0 0 0,0 0 0,0-1 0,0 1 0,0 0 0,0 0 0,0 0 0,0 0 0,0 0 0,0 0 0,0 0 0,0 1 0,0-1 0,0 0 0,0 0 0,0 1 0,0-1 0,0 1 0,0-1 0,-1 1 0,1-1 0,0 1 0,0 0 0,0-1 0,-1 1 0,1 0 0,0 0 0,-1-1 0,1 1 0,0 0 0,-1 0 0,1 0 0,-1 0 0,1 0 0,-1 0 0,0 0 0,1 0 0,-1 0 0,0 1 0,2 6 0,0 1 0,-1-1 0,1 16 0,-2-17 0,1 9 0,1 1 0,0 0 0,8 29 0,-8-40 0,0-1 0,0 1 0,1-1 0,0 0 0,0 0 0,0 0 0,0-1 0,1 1 0,0-1 0,0 1 0,0-1 0,0 0 0,1-1 0,-1 1 0,8 3 0,-2-2 0,0-1 0,1 0 0,-1-1 0,1 0 0,0 0 0,0-2 0,0 1 0,0-1 0,0 0 0,0-1 0,0-1 0,1 0 0,-1 0 0,13-4 0,12-4 0,-1-1 0,0-2 0,35-17 0,-33 12 0,-1-2 0,0-1 0,-1-2 0,45-37 0,-62 44 0,-1-1 0,0-1 0,-1 0 0,-1-1 0,-1 0 0,-1-1 0,0-1 0,-2 0 0,12-26 0,-20 38 0,0 0 0,-1 1 0,0-1 0,0 0 0,-1 0 0,0 0 0,0 0 0,-1-11 0,0 16 0,-1 0 0,1 1 0,0-1 0,-1 0 0,0 1 0,0-1 0,0 0 0,0 1 0,0-1 0,0 1 0,-1-1 0,1 1 0,-1 0 0,1 0 0,-1 0 0,0 0 0,0 0 0,0 0 0,0 0 0,0 0 0,-1 1 0,1-1 0,0 1 0,-1 0 0,1 0 0,-1 0 0,-3-2 0,0 2 0,0 0 0,-1 0 0,1 0 0,0 1 0,0 0 0,0 0 0,-1 1 0,1-1 0,-10 4 0,0 0 0,0 1 0,-23 11 0,11-3 0,2 1 0,0 2 0,0 0 0,2 2 0,-34 30 0,42-33 0,1 1 0,0 1 0,1 0 0,1 1 0,0 1 0,1 0 0,2 0 0,-11 25 0,18-37 0,0 1 0,1 0 0,0 0 0,0 1 0,-1 15 0,3-21 0,0 0 0,0-1 0,0 1 0,0 0 0,1-1 0,0 1 0,-1-1 0,1 1 0,0-1 0,0 1 0,0-1 0,0 1 0,1-1 0,-1 0 0,1 1 0,-1-1 0,1 0 0,0 0 0,0 0 0,0-1 0,0 1 0,3 2 0,1-1 0,1 1 0,0-1 0,1-1 0,-1 1 0,0-1 0,1-1 0,-1 1 0,1-1 0,-1 0 0,1-1 0,0 0 0,-1 0 0,12-2 0,0-1 0,0 0 0,0-2 0,0 0 0,21-9 0,-17 3 0,-1-1 0,0-1 0,0-1 0,23-20 0,32-21 0,-76 54 0,1 0 0,-1 0 0,1 0 0,-1 1 0,1-1 0,-1 0 0,1 1 0,0-1 0,-1 1 0,1-1 0,0 1 0,-1 0 0,1 0 0,0 0 0,0 0 0,-1 0 0,1 0 0,0 0 0,0 0 0,1 1 0,-1 0 0,-1 0 0,1 0 0,-1 0 0,0 0 0,1 0 0,-1 1 0,0-1 0,0 0 0,0 1 0,0-1 0,0 1 0,0-1 0,0 1 0,0-1 0,-1 1 0,2 2 0,1 9 0,-1-1 0,0 1 0,0 0 0,-1 19 0,-1-23 0,-2 440 0,-2-227 0,4-193 0,-9 293 0,3-248 0,-3-1 0,-24 95 0,27-145 0,-1-1 0,-1 1 0,-1-2 0,-22 41 0,27-56 0,1 0 0,-1-1 0,0 1 0,0-1 0,0 0 0,-1-1 0,0 1 0,0-1 0,0 1 0,0-1 0,-1-1 0,0 1 0,0-1 0,0 0 0,0-1 0,0 1 0,0-1 0,-1 0 0,1-1 0,-1 0 0,-8 1 0,9-2 0,1 0 0,-1-1 0,1 0 0,0 0 0,-1 0 0,1-1 0,0 0 0,0 0 0,0 0 0,0-1 0,0 1 0,1-1 0,-1-1 0,1 1 0,0 0 0,-1-1 0,-5-7 0,0-1 0,1 0 0,1 0 0,0-1 0,1 1 0,-9-23 0,3 1 0,1-1 0,2 0 0,2-1 0,1 0 0,-4-61 0,9 40 0,2 0 0,3 1 0,10-59 0,-2 59 0,3 0 0,2 0 0,3 2 0,1 0 0,3 1 0,3 1 0,2 2 0,61-87 0,-5 32 0,3 2 0,168-149 0,-211 212 0,126-122 0,-133 124 0,-2-1 0,40-61 0,-66 86 0,-1 1 0,0-1 0,0 0 0,-2 0 0,0-1 0,0 0 0,3-17 0,-8 30 0,-1 1 0,1-1 0,-1 0 0,0 1 0,1-1 0,-1 0 0,0 0 0,0 1 0,0-1 0,0 0 0,-1 0 0,1 1 0,0-1 0,-1 0 0,1 1 0,-1-1 0,0 1 0,1-1 0,-1 1 0,0-1 0,0 1 0,0-1 0,0 1 0,0-1 0,0 1 0,0 0 0,-1 0 0,1 0 0,0 0 0,-1 0 0,1 0 0,-3-1 0,1 1 0,-1 1 0,1-1 0,0 1 0,-1 0 0,1 0 0,-1 0 0,1 0 0,0 1 0,-1-1 0,1 1 0,0 0 0,-1 0 0,1 0 0,0 1 0,-5 2 0,-5 3 0,1 1 0,0 0 0,0 1 0,1 1 0,0 0 0,1 0 0,0 1 0,0 0 0,1 1 0,1 0 0,0 1 0,1-1 0,0 1 0,1 1 0,0-1 0,-6 25 0,10-28 0,-1 1 0,1 0 0,1 0 0,0 0 0,1 0 0,0 0 0,1 0 0,0 0 0,0 0 0,4 12 0,-2-15 0,0 0 0,0 1 0,1-1 0,0-1 0,0 1 0,1-1 0,0 1 0,0-1 0,1 0 0,0-1 0,0 0 0,0 0 0,13 9 0,0-3 0,0-1 0,1-1 0,-1-1 0,2-1 0,-1-1 0,1 0 0,0-2 0,43 6 0,-11-6 0,1-2 0,81-6 0,8-13-1365,-14-7-5461</inkml:trace>
  <inkml:trace contextRef="#ctx0" brushRef="#br0" timeOffset="2284.11">7165 425 24575,'1'0'0,"-1"0"0,0 0 0,1 0 0,-1-1 0,0 1 0,1 0 0,-1 0 0,0 0 0,1 0 0,-1-1 0,0 1 0,1 0 0,-1 0 0,1 0 0,-1 0 0,0 0 0,1 0 0,-1 0 0,0 0 0,1 0 0,-1 0 0,1 0 0,-1 0 0,0 1 0,1-1 0,-1 0 0,0 0 0,1 0 0,-1 0 0,0 1 0,1-1 0,-1 0 0,0 0 0,0 1 0,1-1 0,-1 0 0,0 0 0,0 1 0,1-1 0,-1 0 0,0 1 0,0-1 0,0 0 0,1 1 0,-1-1 0,2 23 0,-2-23 0,-2 29 0,-1-1 0,-1 0 0,-11 38 0,0-1 0,11-42 0,-28 155 0,27-139 0,1 0 0,4 61 0,0-98 0,5 39 0,-5-40 0,1 0 0,-1 0 0,0 0 0,0 0 0,1 0 0,-1 0 0,0 0 0,1 0 0,-1 0 0,1 0 0,-1 0 0,1-1 0,0 1 0,-1 0 0,1 0 0,0 0 0,-1-1 0,1 1 0,0 0 0,0-1 0,0 1 0,0-1 0,0 1 0,0-1 0,0 1 0,0-1 0,0 0 0,0 0 0,0 1 0,0-1 0,1 0 0,0 0 0,-1-1 0,1 1 0,0-1 0,-1 0 0,1 0 0,-1 1 0,1-1 0,-1 0 0,0 0 0,1 0 0,-1-1 0,0 1 0,0 0 0,0 0 0,0-1 0,0 1 0,0 0 0,0-1 0,1-2 0,15-38 0,-11 17 0,0-1 0,-2 1 0,2-43 0,-8-79 0,1 89 0,-6-87 0,2 61 0,3-1 0,12-114 0,-9 190 0,1-1 0,0 1 0,0-1 0,1 1 0,1 0 0,-1 0 0,1 0 0,1 0 0,-1 1 0,2 0 0,10-15 0,-10 17 0,1 0 0,-1 1 0,1 0 0,0 0 0,0 0 0,1 1 0,-1 0 0,1 0 0,0 1 0,0 0 0,0 0 0,0 1 0,12-2 0,-10 3 0,0-1 0,1 2 0,-1-1 0,1 2 0,-1-1 0,1 1 0,-1 1 0,0 0 0,1 0 0,-1 1 0,0 0 0,0 1 0,-1 0 0,1 1 0,-1 0 0,0 0 0,0 1 0,-1 0 0,9 8 0,-3-1 0,-2 0 0,1 1 0,-2 1 0,0 0 0,0 0 0,-2 1 0,0 1 0,-1-1 0,0 1 0,6 24 0,2 15 10,-3 1 0,13 115 0,-14 125-465,-33 225-1729,-35-1 2336,40-383-248,-21 174 94,-36 358-141,71-643 124,-2 54 3,4-75 16,0-1 1,1 1-1,-1-1 1,1 0 0,0 1-1,1-1 1,0 0 0,-1 0-1,1 0 1,5 8-1,-7-12 0,1-1 0,0 1 0,-1 0 0,1 0 0,0-1 0,-1 1 0,1 0 0,0-1 0,0 1 0,0-1 0,0 1 0,0-1 0,-1 1 0,1-1 0,0 0 0,0 1 0,0-1 0,0 0 0,0 0 0,0 0 0,0 1 0,0-1 0,0 0 0,0-1 0,0 1 0,0 0 0,0 0 0,0 0 0,0-1 0,0 1 0,0 0 0,0-1 0,0 1 0,0-1 0,0 1 0,1-1 0,6-5 0,0 0 0,-1 0 0,0 0 0,0-1 0,0 0 0,8-12 0,35-48 0,-4-3 0,49-100 0,-12 4-148,-7-3-1,-8-4 0,-7-2 0,48-232 1,-72 180-320,-34 205 450,-1 1-1,-2-1 1,0 1 0,-1-1-1,-1 1 1,-1 0 0,-8-31 0,8 44 19,0-1 0,-1 1 1,0 1-1,0-1 1,-1 1-1,0-1 0,0 1 1,-1 1-1,1-1 1,-2 1-1,1 0 0,-1 0 1,1 1-1,-2 0 1,1 0-1,0 0 0,-1 1 1,0 1-1,0-1 1,-11-2-1,-10-2-1,0 1 0,0 1 0,-1 2 0,0 1 0,-42 1 0,-148 17 0,112-1 0,98-12-11,-27 1-101,37-3 115,0 0-1,0 0 0,0 0 0,-1 0 1,1 0-1,0 0 0,0 0 0,0 0 1,0 0-1,0 0 0,0 0 1,0 0-1,-1 0 0,1-1 0,0 1 1,0 0-1,0 0 0,0 0 1,0 0-1,0 0 0,0 0 0,0 0 1,0 0-1,-1 0 0,1 0 1,0 0-1,0-1 0,0 1 0,0 0 1,0 0-1,0 0 0,0 0 1,0 0-1,0 0 0,0 0 0,0 0 1,0-1-1,0 1 0,0 0 0,0 0 1,0 0-1,0 0 0,0 0 1,0 0-1,0 0 0,0-1 0,0 1 1,0 0-1,0 0 0,0 0 1,0 0-1,0 0 0,0 0 0,0 0 1,1 0-1,-1-1 0,0 1 1,0 0-1,0 0 0,0 0 0,0 0 1,0 0-1,0 0 0,0 0 1,1 0-1,18-13 474,60-25 348,24-8-6288</inkml:trace>
  <inkml:trace contextRef="#ctx0" brushRef="#br0" timeOffset="3679.24">4904 3166 24575,'0'-8'0,"0"0"0,-1 0 0,0 0 0,0 0 0,-1 1 0,0-1 0,-1 1 0,-3-9 0,5 15 0,1-1 0,-1 0 0,0 1 0,0-1 0,0 1 0,0 0 0,0-1 0,-1 1 0,1 0 0,0-1 0,-1 1 0,1 0 0,0 0 0,-1 0 0,0 0 0,1 0 0,-1 1 0,1-1 0,-1 0 0,0 1 0,0-1 0,1 1 0,-1 0 0,0-1 0,0 1 0,1 0 0,-1 0 0,0 0 0,0 0 0,0 1 0,1-1 0,-1 0 0,0 1 0,0-1 0,1 1 0,-1 0 0,0-1 0,1 1 0,-1 0 0,1 0 0,-3 2 0,-4 3 0,1 1 0,-1-1 0,2 1 0,-1 1 0,1-1 0,0 1 0,1 0 0,-1 1 0,2-1 0,-6 12 0,-8 18 0,2 1 0,1 1 0,2 1 0,-13 68 0,-9 174 0,33-267 0,-10 215 0,12-197 0,2 1 0,1 0 0,2 0 0,14 50 0,-17-75 0,1 0 0,1 0 0,0 0 0,1 0 0,0-1 0,0 0 0,1 0 0,0 0 0,0-1 0,1 1 0,0-2 0,1 1 0,-1-1 0,2 0 0,-1-1 0,1 1 0,0-2 0,0 1 0,0-2 0,1 1 0,0-1 0,0 0 0,0-1 0,0 0 0,0-1 0,1 0 0,-1-1 0,15 1 0,-1-3 0,-1 0 0,1-2 0,0 0 0,-1-2 0,1-1 0,-1 0 0,-1-2 0,1 0 0,-2-2 0,1-1 0,22-14 0,7-8 0,-1-2 0,-2-2 0,51-53 0,-63 55 0,-1-2 0,-2-2 0,49-75 0,-64 84 0,-2-1 0,0 0 0,-2-2 0,-2 1 0,0-1 0,7-44 0,-16 65 0,0 0 0,-2 0 0,1 0 0,-2 0 0,1 0 0,-2-1 0,0 1 0,0 0 0,-1 0 0,0 0 0,-6-16 0,7 26 0,0-1 0,0 1 0,0 0 0,0-1 0,0 1 0,-1 0 0,1 0 0,-1-1 0,1 1 0,-1 0 0,0 1 0,0-1 0,0 0 0,0 0 0,0 1 0,0-1 0,0 1 0,0 0 0,-1 0 0,1 0 0,-1 0 0,1 0 0,-1 0 0,1 1 0,-1-1 0,1 1 0,-1-1 0,0 1 0,1 0 0,-1 0 0,1 0 0,-1 1 0,1-1 0,-1 1 0,0-1 0,1 1 0,-4 1 0,-1 1 0,0 1 0,1 0 0,-1 0 0,0 0 0,1 1 0,0 0 0,0 0 0,1 0 0,-1 1 0,1 0 0,-6 9 0,1 0 0,1 1 0,1-1 0,1 2 0,0-1 0,1 1 0,0 0 0,2 0 0,0 0 0,-2 22 0,5-31 0,0 1 0,1-1 0,0 0 0,1 0 0,-1 0 0,1 0 0,1 0 0,0 0 0,0 0 0,0-1 0,1 1 0,0-1 0,1 1 0,-1-1 0,1 0 0,1 0 0,-1-1 0,1 1 0,1-1 0,-1 0 0,1-1 0,9 8 0,-6-6 0,1-1 0,0 0 0,0-1 0,1 0 0,0-1 0,0 0 0,0-1 0,0 0 0,0 0 0,1-1 0,18 1 0,-14-3 0,-1-1 0,1-1 0,0 0 0,0 0 0,0-2 0,-1 0 0,27-11 0,-18 4 0,0-1 0,0-2 0,-2 0 0,0-1 0,0-1 0,-1-1 0,-2-1 0,1-1 0,30-41 0,-32 34 0,-1-1 0,-1-2 0,-2 1 0,-1-2 0,-1 1 0,-1-2 0,8-39 0,-6 1 0,-2-1 0,2-85 0,-10 103 0,-3 1 0,-2-1 0,-14-79 0,13 115 0,-1 0 0,-1 0 0,-11-27 0,15 41 0,0 0 0,0-1 0,-1 1 0,1 0 0,0 0 0,-1 0 0,1 0 0,-1 0 0,0 0 0,0 0 0,0 1 0,0-1 0,0 1 0,0-1 0,0 1 0,0 0 0,0-1 0,-5 0 0,5 2 0,0 0 0,0 0 0,0 0 0,0 1 0,1-1 0,-1 1 0,0-1 0,0 1 0,0-1 0,0 1 0,0 0 0,1 0 0,-1 0 0,0 0 0,1 0 0,-1 1 0,1-1 0,-1 0 0,1 1 0,0-1 0,-1 1 0,1-1 0,-2 4 0,-4 6 0,1 0 0,0 0 0,0 1 0,1 0 0,0 0 0,-3 16 0,-16 85 0,13-38 0,2 0 0,4 0 0,5 91 0,1-133 0,2-1 0,2 0 0,1 0 0,1 0 0,2-1 0,1 0 0,1 0 0,2-1 0,1-1 0,19 29 0,-23-44 0,0 1 0,2-2 0,0 0 0,0 0 0,1-1 0,1 0 0,19 12 0,-22-17 0,0-1 0,1 0 0,-1-1 0,1 0 0,0 0 0,1-2 0,-1 1 0,1-2 0,-1 0 0,23 1 0,-16-3 0,1-2 0,0 0 0,-1-1 0,0-1 0,1-1 0,-2 0 0,1-2 0,-1 0 0,0-1 0,0-1 0,-1 0 0,0-2 0,0 0 0,-2 0 0,1-2 0,15-16 0,-8 6 0,-2-1 0,0-1 0,-1-1 0,-2-1 0,-1-1 0,-1 0 0,-1-1 0,-2-1 0,11-34 0,-12 28 0,-3-1 0,-1 0 0,4-44 0,-10 67 0,-1 1 0,-1-1 0,0 0 0,-1 0 0,-1 0 0,0 0 0,0 0 0,-2 1 0,0-1 0,0 1 0,-11-22 0,14 33 0,0 0 0,0 0 0,0 0 0,0 0 0,0 0 0,-1 0 0,1 0 0,-1 1 0,0-1 0,1 0 0,-1 1 0,0-1 0,0 1 0,0 0 0,0 0 0,0-1 0,0 1 0,0 0 0,0 1 0,-1-1 0,1 0 0,0 1 0,0-1 0,-1 1 0,1 0 0,0 0 0,-1 0 0,1 0 0,0 0 0,-1 0 0,-2 1 0,0 1 0,0 1 0,0 0 0,0-1 0,0 1 0,0 1 0,1-1 0,-1 1 0,1 0 0,0 0 0,0 0 0,0 1 0,-4 7 0,-8 11 0,2 1 0,1 1 0,1 0 0,-18 53 0,-18 116 0,37-132 0,-5 76 0,15-109 0,1 1 0,1 0 0,1-1 0,11 49 0,-11-68 0,1 0 0,0-1 0,1 0 0,0 1 0,0-1 0,1-1 0,0 1 0,0-1 0,1 1 0,0-2 0,10 10 0,-11-12 0,1 0 0,0 0 0,1-1 0,-1 0 0,1 0 0,0-1 0,0 0 0,0 0 0,1 0 0,-1-1 0,0 0 0,1-1 0,0 1 0,14-1 0,-3-1 0,-1-1 0,0-1 0,0-1 0,0 0 0,0-1 0,0-2 0,-1 1 0,28-14 0,-2-3 0,-2-2 0,46-34 0,-24 11 0,-3-3 0,-1-2 0,-3-3 0,-3-2 0,-2-2 0,-3-3 0,-2-2 0,70-131 0,-105 175 0,0-2 0,-2 1 0,0-1 0,-2-1 0,0 0 0,4-29 0,-10 50 0,-1-1 0,0 1 0,1 0 0,-1-1 0,-1 1 0,1 0 0,0-1 0,0 1 0,-1 0 0,1-1 0,-1 1 0,0 0 0,0 0 0,0 0 0,0 0 0,0-1 0,0 1 0,-2-1 0,3 2 0,-1 1 0,1 0 0,-1-1 0,1 1 0,-1 0 0,1 0 0,-1-1 0,1 1 0,-1 0 0,1 0 0,-1 0 0,1 0 0,-1 0 0,0 0 0,1 0 0,-1 0 0,1 0 0,-1 0 0,1 0 0,-1 0 0,1 0 0,-1 0 0,1 1 0,-1-1 0,0 0 0,-1 1 0,0 1 0,1-1 0,-1 0 0,1 0 0,-1 1 0,1-1 0,-1 1 0,1-1 0,0 1 0,-2 2 0,-1 4 0,0 0 0,1-1 0,0 2 0,0-1 0,1 0 0,0 1 0,0-1 0,1 1 0,0-1 0,0 1 0,1 0 0,0-1 0,1 1 0,0-1 0,0 1 0,1-1 0,0 1 0,4 9 0,6 17 0,3 1 0,35 61 0,-30-60 0,-16-29 0,0-1 0,-1 1 0,0 0 0,0 0 0,0 0 0,-1 0 0,1 11 0,-3-15 0,0 1 0,0-1 0,0 1 0,-1-1 0,0 1 0,0-1 0,0 0 0,0 1 0,-1-1 0,0 0 0,0 0 0,0 0 0,0 0 0,0 0 0,-7 6 0,-2 3 0,-1 0 0,-1-1 0,-1-1 0,1 0 0,-2 0 0,-25 13 0,-101 43 0,140-67 0,-69 27-455,0-3 0,-129 26 0,120-36-6371</inkml:trace>
  <inkml:trace contextRef="#ctx0" brushRef="#br0" timeOffset="4033.25">10097 3683 24575,'2'1'0,"-1"0"0,1 1 0,-1-1 0,0 0 0,1 1 0,-1 0 0,0-1 0,0 1 0,0-1 0,0 1 0,0 0 0,0 0 0,-1 0 0,1-1 0,-1 1 0,1 0 0,-1 0 0,0 0 0,1 0 0,-1 0 0,0 0 0,0 0 0,0 0 0,-1 0 0,0 2 0,0 0 0,-1-1 0,-1 0 0,1 0 0,0 0 0,-1 0 0,0 0 0,1 0 0,-1-1 0,0 1 0,-1-1 0,1 0 0,0 0 0,-6 2 0,-28 14 0,-1-2 0,-1-1 0,-63 14 0,99-28 0,-193 48 0,-73 10-709,-110 24-2130,-155 40 2129,-193 57-185,-202 63-2687,-190 64 2087,-3465 1114-3738,3943-1201 5894,280-103-496,274-96-113,68-20 151,12-6 117,8 3-244,0 0-1,0 0 1,0 1 0,1-1 0,-1 0 0,0 1 0,1-1 0,-1 1-1,1-1 1,-1 1 0,1 0 0,3-3 0,48-31 1367,110-60 1999</inkml:trace>
  <inkml:trace contextRef="#ctx0" brushRef="#br0" timeOffset="4593.22">7587 1039 24575,'0'1'0,"-1"-1"0,1 1 0,0 0 0,-1 0 0,1 0 0,-1-1 0,1 1 0,-1 0 0,0-1 0,1 1 0,-1 0 0,1-1 0,-1 1 0,0-1 0,0 1 0,1-1 0,-1 1 0,0-1 0,0 1 0,0-1 0,-1 0 0,-2 3 0,-24 11 0,-2-1 0,-48 15 0,61-23 0,-151 48 0,-80 18-604,-102 29-1815,-103 29 1259,-95 29-1059,219-64 1225,-928 271-2147,27 33 701,974-303 2268,227-83 422,1 0 0,-35 22 0,62-33-240,0-1 1,0 1 0,0-1 0,1 1 0,-1-1 0,0 1 0,1-1-1,-1 1 1,0 0 0,1-1 0,-1 1 0,1 0 0,-1 0 0,1-1-1,-1 1 1,1 0 0,-1 0 0,1 0 0,-1 1 0,2-1 5,-1-1-1,1 1 1,-1-1 0,0 1 0,1-1 0,-1 0-1,1 1 1,0-1 0,-1 0 0,1 1 0,-1-1-1,1 0 1,-1 0 0,1 0 0,0 1 0,-1-1-1,1 0 1,-1 0 0,1 0 0,0 0 0,-1 0 0,1 0-1,0 0 1,0 0 0,19-2 632,0-1 1,30-7-1,74-22 1003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39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219 1 24575,'30'2'0,"-1"1"0,1 2 0,47 14 0,-68-16 0,-1-1 0,0 2 0,0-1 0,0 1 0,0 0 0,-1 1 0,1-1 0,-1 2 0,0-1 0,-1 1 0,1 1 0,6 7 0,-6-4 0,0 0 0,0 1 0,-1 0 0,0 0 0,-1 1 0,0-1 0,5 23 0,-2 9 0,-2-2 0,-1 2 0,-3 87 0,-2-113 0,17 338 0,-1-90 0,15 293 0,63 342 0,-62-448 0,-33 0 0,-2-198 0,3-80 0,-25 525 0,-9-232 0,28-351 0,-13 126 0,-5 153 0,26-74 0,-4 150 0,-50 18 0,22-257 0,12-105 0,-8 103 0,24-19 0,-12 171 0,-8-193 0,-26 372 0,48-557 0,-1 10 0,1 0 0,0 0 0,1 0 0,1 1 0,5 17 0,-6-28 0,0-1 0,1 1 0,-1-1 0,1 2 0,0-2 0,0 0 0,0 0 0,1 0 0,-1 0 0,1 0 0,0 0 0,-1-1 0,1 0 0,0 1 0,1-1 0,-1 0 0,0 0 0,1-1 0,-1 1 0,1-1 0,-1 1 0,1-1 0,0 0 0,4 0 0,8 2 0,0 0 0,0-1 0,1-1 0,-1-1 0,1 0 0,-1-3 0,18-2 0,-26 4 0,0-1 0,-1 0 0,1 0 0,0-1 0,-1 0 0,0-1 0,0 0 0,0 0 0,0 0 0,-1-1 0,1 0 0,-1 0 0,-1-1 0,1 0 0,-1 0 0,7-9 0,0-7 0,-1 0 0,-1-1 0,-1 0 0,-2 0 0,0-2 0,-1 2 0,-1-2 0,-1 1 0,1-47 0,-5 64 0,0-1 0,-1 2 0,1-1 0,-1 0 0,0 0 0,-1 1 0,0-1 0,0 0 0,0 1 0,-1-1 0,0 1 0,-6-10 0,7 13 0,0 1 0,-1-1 0,1 1 0,-1-1 0,1 1 0,-1-1 0,0 1 0,0 0 0,0 1 0,0-1 0,0 1 0,0-1 0,0 1 0,-1 0 0,1 0 0,0 0 0,-1 1 0,1-1 0,0 1 0,-1 0 0,1 0 0,-1 0 0,1 0 0,-1 1 0,1-1 0,-6 3 0,3-2 0,0 1 0,1 0 0,-1 1 0,1 0 0,-1 0 0,1 1 0,0-1 0,0 1 0,0-1 0,0 1 0,1 1 0,-1-1 0,1 1 0,0-1 0,1 1 0,-1 0 0,1 2 0,0-2 0,0 0 0,1 1 0,-4 11 0,-1 10 0,0-1 0,2 2 0,-3 48 0,2-17 0,-27 390 0,35 1 0,0-333 0,8 133 0,60 358 0,-19-312 0,66 470 0,-83-503 0,26 375 0,-60-616 0,0 0 0,-2 1 0,-8 41 0,7-52 0,-1 1 0,0-2 0,-1 1 0,0-1 0,0 0 0,-2 1 0,1-2 0,-12 14 0,-16 18 0,-2-2 0,-2-1 0,-1-3 0,-2 0 0,-55 35 0,70-56 0,-1-2 0,0-1 0,-1-2 0,0 0 0,0-1 0,-1-2 0,0-2 0,-1 0 0,1-2 0,-32-1 0,53-1 0,0-2 0,0 1 0,0-1 0,0 0 0,0 0 0,0-1 0,0-1 0,1 1 0,-1-1 0,1 0 0,0-1 0,0 1 0,0-2 0,0 0 0,1 0 0,-1 0 0,1 0 0,0 0 0,1-1 0,-1 0 0,1 0 0,1-2 0,-1 2 0,1-1 0,0 0 0,-5-14 0,0-5-273,2 1 0,0-2 0,2 2 0,-4-46 0,2-25-6553</inkml:trace>
  <inkml:trace contextRef="#ctx0" brushRef="#br0" timeOffset="2325.93">854 5243 24575,'24'-1'0,"-1"-1"0,0 0 0,0-2 0,34-11 0,85-37 0,-108 38 0,40-13 0,-19 6 0,-1 0 0,-1-4 0,60-37 0,-107 58 0,0 0 0,-1 0 0,1 0 0,-1-1 0,0 0 0,-1 0 0,1 0 0,-1-2 0,0 2 0,4-7 0,-7 9 0,-1 1 0,1 0 0,0 0 0,-1 0 0,1 0 0,-1-1 0,0 1 0,0 0 0,0 0 0,0 0 0,0-1 0,0 1 0,0 0 0,-1-1 0,1 1 0,-1-1 0,0 1 0,0 0 0,0 0 0,0 0 0,0 0 0,0 0 0,0 0 0,0 1 0,-1-1 0,1 0 0,-1 1 0,1-1 0,-1 1 0,0-1 0,0 1 0,0 0 0,-2-2 0,-5-3 0,-1-1 0,0 1 0,0 0 0,-1 2 0,0-1 0,0 1 0,0 1 0,0 0 0,0 0 0,-1 1 0,1 1 0,-1 0 0,-13 0 0,23 2 0,1-1 0,-1 0 0,1 1 0,-1-1 0,1 1 0,-1-1 0,1 1 0,0-1 0,-1 1 0,1 0 0,0 0 0,0 0 0,-1 0 0,1 0 0,0 0 0,0 0 0,0 0 0,0 0 0,0 1 0,0-1 0,1 0 0,-1 1 0,0-1 0,1 0 0,-1 1 0,1-1 0,-1 1 0,1-1 0,-1 1 0,1-1 0,0 1 0,0-1 0,0 5 0,1 3 0,-1 0 0,2 0 0,-1 0 0,6 15 0,-7-23 0,63 208 0,30 118 0,32 506 0,-119-789 90,-5-42-122,-1-5-171,0-20-1017,-1-23-5606</inkml:trace>
  <inkml:trace contextRef="#ctx0" brushRef="#br0" timeOffset="3739.72">2357 5826 24575,'0'-7'0,"-1"0"0,0-1 0,0 1 0,-1 0 0,0 1 0,0-1 0,0 0 0,-1 1 0,0 0 0,0-1 0,0 1 0,-1 0 0,0 0 0,-1 0 0,1 1 0,-1 0 0,0 0 0,0 0 0,0 1 0,-1-1 0,1 1 0,-8-4 0,-1 0 0,-1 1 0,-1 0 0,1 0 0,-1 2 0,-1-1 0,1 2 0,0 0 0,-20-1 0,28 4 0,-1 1 0,1 0 0,0 0 0,0 1 0,0 0 0,-1 0 0,1 1 0,0 0 0,1 0 0,-1 1 0,0 1 0,1-1 0,-1 1 0,-9 7 0,9-5 0,0 0 0,1 1 0,0-1 0,0 2 0,1 0 0,0 0 0,0 0 0,1 0 0,0 1 0,0 0 0,-6 18 0,3-3 0,1 1 0,1-1 0,1 1 0,1 0 0,1 1 0,1 47 0,3-57 0,0 1 0,1-1 0,0 0 0,1 1 0,1-2 0,1 1 0,0 0 0,1-1 0,0-1 0,1 1 0,16 24 0,-17-32 0,-1-1 0,1 0 0,0 1 0,0-1 0,1-1 0,0 0 0,0 0 0,0-1 0,0 1 0,1-2 0,0 1 0,0-1 0,0 0 0,0-1 0,0 1 0,0-1 0,1 0 0,-1-1 0,1-1 0,-1 0 0,1 0 0,-1 0 0,1-1 0,-1 0 0,0-1 0,1-1 0,-1 1 0,0-1 0,0 0 0,0 0 0,-1-1 0,1 0 0,-1 0 0,0-1 0,0 0 0,0 0 0,-1-1 0,0 0 0,0-1 0,0 1 0,7-11 0,-2-3 0,-1-1 0,-1 1 0,-1-1 0,0 0 0,-2 0 0,0-2 0,-2 1 0,0-1 0,0-25 0,-4 47 0,0-2 0,0 1 0,0-1 0,0 0 0,1 1 0,-1-1 0,1 0 0,0 1 0,0-1 0,1-3 0,-1 6 0,-1-1 0,1 0 0,0 1 0,0-1 0,0 1 0,0 0 0,0-1 0,0 1 0,-1-1 0,1 1 0,0 0 0,0 0 0,0 0 0,0 0 0,0-1 0,0 1 0,0 1 0,0-1 0,0 0 0,0 0 0,0 0 0,0 0 0,0 1 0,0-1 0,0 0 0,0 1 0,0-1 0,1 1 0,27 10 0,-13-5 0,0-1 0,1 0 0,25 5 0,-37-9 0,0-1 0,0 0 0,0 0 0,0 0 0,0-1 0,-1 1 0,1-2 0,0 1 0,0-1 0,0 1 0,-1-1 0,1 0 0,-1 0 0,1 0 0,-1-1 0,8-5 0,-4 1 0,-1-1 0,0-1 0,0 0 0,0 0 0,-1 0 0,-1-1 0,0 1 0,0-1 0,0-1 0,-2 1 0,1-1 0,3-21 0,1-9 0,4-86 0,-12 96 0,-1 0 0,-1 0 0,-2 1 0,-1-1 0,-1 1 0,-2 0 0,0 1 0,-20-45 0,4 23 0,-1 2 0,-3 0 0,-57-75 0,84 123 0,-44-53 0,42 52 0,1-1 0,0 1 0,-1 0 0,1 0 0,-1 0 0,0 0 0,0 0 0,1 0 0,-1 1 0,0 0 0,-1-1 0,1 1 0,0 0 0,0 1 0,-6-3 0,8 3 0,0 1 0,0-1 0,0 0 0,0 2 0,0-2 0,0 1 0,0 0 0,0-1 0,0 1 0,1-1 0,-1 1 0,0 0 0,0 0 0,1 0 0,-1-1 0,0 1 0,1 0 0,-1 0 0,1 0 0,-1 0 0,1 0 0,-1 0 0,1 0 0,0 0 0,0 0 0,-1 0 0,1 1 0,0-1 0,0 0 0,0 0 0,0 0 0,0 0 0,0 0 0,1 0 0,-1 0 0,1 2 0,8 47 0,-9-50 0,16 51 0,2-1 0,3 0 0,33 59 0,93 137 0,-130-220 0,3 7 0,-2-3 0,40 51 0,-57-79 0,1 0 0,-1-1 0,1 1 0,0 0 0,-1-1 0,1 1 0,0-1 0,0 1 0,0-1 0,0 0 0,0 0 0,0 0 0,0 0 0,1 0 0,-1 0 0,0 0 0,0-1 0,1 1 0,-1-1 0,0 0 0,3 0 0,-3-1 0,0 1 0,0-1 0,0 0 0,-1-1 0,1 1 0,0 0 0,-1 0 0,1-1 0,-1 1 0,1-1 0,-1 0 0,0 1 0,1-1 0,-1 0 0,0 1 0,0-1 0,0 0 0,-1 0 0,1 0 0,0 0 0,-1 0 0,1 0 0,-1-4 0,7-28 0,-2-2 0,-1 2 0,-2-2 0,-1 0 0,-2 0 0,-2 1 0,-8-45 0,7 63 0,1 22 0,3 28 0,2-20 0,1 0 0,0 1 0,1 0 0,0-2 0,12 25 0,-13-31 0,0 0 0,0-1 0,1 0 0,0 1 0,0-2 0,0 1 0,0 0 0,1 0 0,0-1 0,0 0 0,0 0 0,0 0 0,1-1 0,10 5 0,-13-7 0,-1-1 0,1 1 0,0-1 0,0 1 0,0-1 0,0 0 0,0 0 0,0 0 0,0-1 0,0 1 0,0-1 0,0 1 0,-1-1 0,1 0 0,0 0 0,0 0 0,-1 0 0,1-1 0,-1 1 0,1-1 0,-1 0 0,0 0 0,1 0 0,-1 0 0,0 0 0,0 0 0,0 0 0,2-5 0,5-7 0,0 0 0,-1 0 0,12-29 0,-18 39 0,14-38 0,-1-1 0,-2-1 0,-2 1 0,-2-1 0,-2-1 0,2-72 0,-8 62 0,-2 0 0,-3 0 0,-2 0 0,-3 0 0,-15-55 0,23 107 0,-8-28 0,-23-57 0,30 82 0,-1-1 0,-1 1 0,1 0 0,-1 0 0,0-1 0,-1 1 0,1 1 0,-1 0 0,0 0 0,0 0 0,-1 0 0,1 1 0,-1 0 0,-9-6 0,14 9 0,-1 1 0,0-1 0,0 0 0,0 1 0,0-1 0,0 1 0,0 0 0,0-1 0,0 1 0,0 0 0,0 0 0,0 1 0,0-1 0,0 0 0,0 1 0,0-1 0,0 1 0,0-1 0,0 1 0,0 0 0,0 1 0,0-1 0,1 0 0,-1 0 0,0 1 0,1-1 0,-1 0 0,1 1 0,-1-1 0,1 1 0,-2 2 0,-1 3 0,0 0 0,0-1 0,1 1 0,0 0 0,0 2 0,1-2 0,-2 11 0,0 6 0,1-1 0,2 1 0,0 0 0,1-1 0,2 1 0,0 0 0,2 0 0,0-2 0,9 29 0,2-5 0,2-1 0,1 0 0,38 64 0,-36-76 0,1 1 0,1-2 0,29 30 0,-34-45 0,0 0 0,0 0 0,2-2 0,0-1 0,1-1 0,24 14 0,-38-24 0,0 0 0,0 0 0,1-1 0,-1 1 0,1-1 0,-1-1 0,1 1 0,0-1 0,0-1 0,0 1 0,9-1 0,-13-1 0,0 0 0,0 1 0,1-1 0,-1-1 0,-1 1 0,1 0 0,0-1 0,0 1 0,0-1 0,-1 0 0,1 0 0,-1 0 0,0 0 0,1 0 0,-1-1 0,0 1 0,0-1 0,0 1 0,-1-1 0,1 0 0,-1 0 0,1 0 0,-1-1 0,0 1 0,0 0 0,0-3 0,2-8 0,0 0 0,-2 0 0,0 0 0,0 0 0,-1 0 0,-1-1 0,0 1 0,-1 0 0,-1 0 0,0-1 0,-1 2 0,0 0 0,-1 0 0,0-1 0,-1 1 0,-1 1 0,0 0 0,-10-15 0,16 26 0,0-1 0,0 0 0,0 1 0,-1-1 0,1 1 0,0 0 0,-1-1 0,1 1 0,-1 0 0,0 0 0,1 0 0,-1 0 0,0 0 0,1 0 0,-1 0 0,0 1 0,0-1 0,0 1 0,0-1 0,-3 0 0,3 2 0,1 0 0,-1-1 0,1 1 0,0 0 0,-1 0 0,1 0 0,0 0 0,0 0 0,-1 0 0,1 0 0,0 0 0,0 1 0,0-1 0,1 0 0,-1 1 0,0-1 0,0 0 0,1 1 0,-1-1 0,1 1 0,-1-1 0,1 1 0,0 0 0,-1-1 0,1 1 0,0 2 0,-1 10 0,0 0 0,0 1 0,2-1 0,0 1 0,0-1 0,1-1 0,1 1 0,6 20 0,0-6 0,1 0 0,2 0 0,16 28 0,-12-30-136,1-1-1,2 0 1,0-1-1,1-2 1,2 0-1,0-1 1,1-1-1,1-1 0,45 26 1,-11-9-6690</inkml:trace>
  <inkml:trace contextRef="#ctx0" brushRef="#br0" timeOffset="3941.52">1913 7142 24575,'0'3'0,"28"-1"0,50-17 0,55-31 0,50-38 0,43-29 0,28-22-3195,15-2 3195,-14 10 0,-38 29 24,-58 21-24,-54 26-5020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32:49.67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24575,'-1'0'-8191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1:10.87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217 194 24575,'0'4'0,"0"4"0,0 9 0,0 8 0,0 3 0,0 9 0,0 8 0,0 3 0,0 5 0,0-3 0,0 1 0,7-20 0,3-25 0,-1-21 0,-2-8-8191</inkml:trace>
  <inkml:trace contextRef="#ctx0" brushRef="#br0" timeOffset="581.62">48 216 24575,'-1'-8'0,"1"0"0,0 0 0,0 0 0,1 0 0,1 0 0,-1 0 0,1 1 0,0-1 0,1 1 0,0-1 0,0 1 0,0 0 0,1 0 0,0 0 0,1 1 0,-1-1 0,1 1 0,0 0 0,1 0 0,0 1 0,0 0 0,0 0 0,0 0 0,10-5 0,0 1 0,0 1 0,1 1 0,0 0 0,0 1 0,-6 3 0</inkml:trace>
  <inkml:trace contextRef="#ctx0" brushRef="#br0" timeOffset="581.62">417 1 24575,'11'5'0,"-6"-1"0,-1-1 0,1 0 0,-1 1 0,0 0 0,0 0 0,0 0 0,-1 0 0,1 1 0,-1-1 0,0 1 0,0 0 0,-1 0 0,1 0 0,-1 0 0,0 1 0,1 5 0,-1-4 0,-1 0 0,0 0 0,-1 0 0,1 1 0,-1-1 0,0 0 0,-1 0 0,0 0 0,0 0 0,-1 0 0,1 0 0,-1 0 0,-1-1 0,-3 8 0,-3 5 0,-2 0 0,-1-1 0,-16 20 0,27-37 0,0 0 0,0 0 0,0 1 0,0-1 0,1 0 0,-1 1 0,0-1 0,1 1 0,-1-1 0,0 1 0,1-1 0,0 1 0,-1-1 0,1 1 0,0-1 0,0 1 0,0 0 0,0 2 0,0-3 0,1 0 0,-1 0 0,1 0 0,0 0 0,-1 0 0,1 0 0,0 0 0,0 0 0,-1 0 0,1-1 0,0 1 0,0 0 0,0-1 0,0 1 0,0 0 0,0-1 0,0 1 0,0-1 0,2 1 0,8 2 0,-1-1 0,1-1 0,-1 1 0,18-1 0,-7 0 0,-5 0 0,1 2 0,0 0 0,-1 0 0,0 2 0,0 0 0,18 9 0,-29-11 0,0-1 0,-1 1 0,1 0 0,-1 0 0,0 0 0,0 1 0,0-1 0,0 1 0,-1 0 0,5 7 0,-6-8 0,0 0 0,-1 1 0,0-1 0,0 0 0,0 1 0,0-1 0,0 0 0,-1 1 0,1-1 0,-1 1 0,0-1 0,0 1 0,0-1 0,-1 1 0,1-1 0,-1 1 0,-1 5 0,-3 2 0,0 0 0,0 0 0,-1-1 0,0 1 0,0-1 0,-1-1 0,-1 1 0,0-1 0,0 0 0,-1-1 0,-15 12 0,-3 0 0,0-2 0,-1-1 0,-34 16 0,17-12 0,-95 28 0,110-41 0,0-1 0,0-2 0,-1 0 0,-42-1 0,65-4-273,0-1 0,0 0 0,-1 0 0,-7-3 0,-16-9-6553</inkml:trace>
  <inkml:trace contextRef="#ctx0" brushRef="#br0" timeOffset="1043.54">725 406 24575,'-1'0'0,"0"1"0,0-1 0,0 1 0,0-1 0,0 1 0,0-1 0,1 1 0,-1 0 0,0-1 0,0 1 0,1 0 0,-1 0 0,0-1 0,1 1 0,-1 0 0,1 0 0,-1 0 0,1 0 0,-1 0 0,1 0 0,0 0 0,0 0 0,-1 0 0,1 0 0,0 0 0,0 0 0,0 0 0,0 0 0,0 0 0,0 0 0,0 0 0,1 2 0,2 36 0,0-28 0,0 0 0,1 1 0,0-1 0,1-1 0,0 1 0,1-1 0,0 1 0,0-2 0,1 1 0,0-1 0,1 0 0,10 10 0,-13-15 0,1 1 0,-1-1 0,0 1 0,1-2 0,0 1 0,0-1 0,0 0 0,1 0 0,-1 0 0,0-1 0,1 0 0,0 0 0,0-1 0,-1 0 0,1 0 0,0-1 0,0 1 0,0-2 0,0 1 0,0-1 0,-1 0 0,11-2 0,-12 0 0,1 1 0,-1-1 0,1 0 0,-1 0 0,0 0 0,0-1 0,-1 0 0,1 0 0,-1 0 0,0-1 0,0 1 0,0-1 0,0 0 0,-1 0 0,0 0 0,0 0 0,0-1 0,-1 0 0,0 1 0,0-1 0,0 0 0,-1 0 0,0 0 0,0 0 0,0-10 0,0 9 0,-1-1 0,0 1 0,0-1 0,-1 1 0,1 0 0,-2-1 0,1 1 0,-1 0 0,0 0 0,-1 0 0,0 0 0,0 0 0,0 0 0,-1 1 0,0 0 0,0 0 0,0 0 0,-1 0 0,0 0 0,-10-7 0,9 8-49,-1 0 1,0 1-1,0 0 0,-1 1 0,1 0 1,-1 0-1,0 0 0,0 1 0,0 0 1,0 1-1,0 0 0,0 0 0,0 1 1,0 0-1,-1 0 0,1 0 0,0 1 1,0 1-1,0 0 0,0 0 0,0 0 1,1 1-1,-1 0 0,0 0 0,1 1 0,0 0 1,-11 8-1,-5 12-6777</inkml:trace>
  <inkml:trace contextRef="#ctx0" brushRef="#br0" timeOffset="1338.65">1127 343 24575,'0'-8'0,"7"6"0,3 6 0,-1 13 0,-2 15 0,-2 9 0,-1 8 0,-3 4 0,0-5 0,-1-2 0,0-14 0,-1-11-8191</inkml:trace>
  <inkml:trace contextRef="#ctx0" brushRef="#br0" timeOffset="1600.83">1169 300 24575,'0'-1'0,"1"-1"0,-1 1 0,0-1 0,1 1 0,-1 0 0,1-1 0,-1 1 0,1 0 0,0-1 0,-1 1 0,1 0 0,0 0 0,0-1 0,0 1 0,0 0 0,0 0 0,0 0 0,0 0 0,0 0 0,1 1 0,-1-1 0,0 0 0,0 0 0,1 1 0,-1-1 0,1 1 0,-1-1 0,0 1 0,2 0 0,47-7 0,-48 7 0,20-1 0,-1 1 0,0 1 0,1 1 0,-1 1 0,0 1 0,33 10 0,-44-11 0,0 1 0,0 0 0,-1 0 0,0 1 0,1 1 0,-2-1 0,1 1 0,-1 1 0,0 0 0,0 0 0,-1 0 0,1 1 0,-2 0 0,1 1 0,8 14 0,-13-18 0,0 0 0,-1 0 0,1 0 0,-1 0 0,0 0 0,0 1 0,0-1 0,-1 0 0,0 1 0,0-1 0,0 1 0,-1-1 0,0 0 0,0 1 0,0-1 0,0 0 0,-1 0 0,0 0 0,0 0 0,0 0 0,-1 0 0,0-1 0,0 1 0,-4 4 0,-5 6 0,-1 0 0,0 0 0,-1-2 0,-1 0 0,-21 15 0,14-13 0,0 0 0,0-2 0,-1-1 0,-1 0 0,0-2 0,0-1 0,-46 11 0,66-19-72,-1 0 1,0 0-1,0-1 0,1 1 0,-1-1 0,0 0 0,0-1 0,0 1 1,1-1-1,-1 0 0,0 0 0,1 0 0,-1 0 0,1-1 0,-1 0 1,1 0-1,0 0 0,-6-5 0,-15-19-6754</inkml:trace>
  <inkml:trace contextRef="#ctx0" brushRef="#br0" timeOffset="2366.39">1826 279 24575,'1'100'0,"2"-30"0,-4 0 0,-15 118 0,14-184 0,1-5 0,-2-13 0,1-23 0,0-12 0,0 5 0,2 0 0,8-69 0,-8 111 0,0-1 0,0 1 0,1 0 0,-1-1 0,1 1 0,0 0 0,0-1 0,0 1 0,0 0 0,0 0 0,0 0 0,1 0 0,-1 0 0,0 0 0,3-2 0,-3 4 0,1-1 0,-1 1 0,0 0 0,0 0 0,0 0 0,0 0 0,0 0 0,0 0 0,1 0 0,-1 0 0,0 0 0,0 0 0,0 0 0,0 1 0,0-1 0,0 1 0,0-1 0,0 1 0,0-1 0,0 1 0,0-1 0,0 1 0,0 0 0,0-1 0,0 1 0,0 0 0,-1 0 0,1 0 0,0 0 0,-1 0 0,2 1 0,21 27 0,-1 1 0,35 62 0,-25-37 0,-30-51 0,0 0 0,1 0 0,0 0 0,0 0 0,0-1 0,1 1 0,3 3 0,-6-7 0,0 1 0,0-1 0,0 1 0,0-1 0,1 1 0,-1-1 0,0 0 0,0 1 0,0-1 0,0 0 0,0 0 0,0 0 0,0 0 0,0 0 0,1 0 0,-1 0 0,0-1 0,0 1 0,0 0 0,0-1 0,0 1 0,0 0 0,0-1 0,0 1 0,0-1 0,0 0 0,0 1 0,0-1 0,0 0 0,-1 1 0,1-1 0,0 0 0,0 0 0,-1 0 0,1 0 0,1-2 0,7-11 0,-1-1 0,0-1 0,0 1 0,-2-1 0,0-1 0,-1 1 0,0-1 0,1-18 0,5-11 0,1-1 0,-2 8 0,0 1 0,19-41 0,-29 78 0,0 1 0,0-1 0,0 1 0,0 0 0,0-1 0,0 1 0,1-1 0,-1 1 0,0-1 0,0 1 0,0 0 0,1-1 0,-1 1 0,0-1 0,0 1 0,1 0 0,-1-1 0,0 1 0,1 0 0,-1-1 0,1 1 0,-1 0 0,0 0 0,1-1 0,-1 1 0,1 0 0,-1 0 0,0 0 0,1 0 0,-1-1 0,1 1 0,-1 0 0,1 0 0,5 15 0,-2 30 0,-3-34 0,11 167 0,-9-155 0,1 0 0,1-1 0,1 1 0,1-1 0,16 35 0,-20-52-76,-1 0 1,1 0-1,-1-1 0,1 0 0,0 1 0,1-1 0,-1 0 0,1 0 1,0-1-1,0 1 0,0-1 0,0 0 0,1 0 0,-1 0 1,1-1-1,0 1 0,5 1 0,27 1-6750</inkml:trace>
  <inkml:trace contextRef="#ctx0" brushRef="#br0" timeOffset="2853.18">2545 300 24575,'1'-6'0,"2"6"0,5 16 0,6 28 0,-6 12 0,-2 0 0,-2 79 0,-4-133 0,2 17 0,-2-18 0,0-1 0,0 0 0,0 0 0,1 0 0,-1 0 0,0 0 0,0 0 0,0 0 0,0 0 0,0 0 0,0 0 0,0 0 0,0 0 0,0 1 0,0-1 0,0 0 0,1 0 0,-1 0 0,0 0 0,0 0 0,0 0 0,0 0 0,0 0 0,0 0 0,0 0 0,1 0 0,-1 0 0,0 0 0,0 0 0,0 0 0,0 0 0,0 0 0,0 0 0,0 0 0,0 0 0,0-1 0,1 1 0,-1 0 0,0 0 0,0 0 0,0 0 0,0 0 0,0 0 0,0 0 0,0 0 0,0 0 0,0 0 0,0 0 0,0 0 0,0-1 0,1 1 0,-1 0 0,0 0 0,0 0 0,0 0 0,0 0 0,0 0 0,0 0 0,0 0 0,0-1 0,0 1 0,0 0 0,0 0 0,0 0 0,9-35 0,3-44 0,15-70 0,-25 139 0,1 0 0,0 0 0,7-13 0,-9 22 0,-1-1 0,1 1 0,-1 0 0,1 0 0,-1 0 0,1 0 0,0 1 0,-1-1 0,1 0 0,0 0 0,0 0 0,0 1 0,0-1 0,0 0 0,0 1 0,0-1 0,0 0 0,2 0 0,-3 1 0,1 0 0,0 0 0,-1 0 0,1 1 0,0-1 0,-1 0 0,1 0 0,0 1 0,-1-1 0,1 0 0,0 0 0,-1 1 0,1-1 0,-1 1 0,1-1 0,-1 1 0,1-1 0,-1 1 0,1-1 0,-1 1 0,1-1 0,-1 2 0,4 3 0,-1 1 0,-1 0 0,1 0 0,3 12 0,11 65-51,-12-51 125,14 43 0,-16-66-220,0-1-1,1 1 1,0-1 0,0 1 0,1-1 0,0-1 0,0 1-1,1-1 1,9 10 0,2-4-6680</inkml:trace>
  <inkml:trace contextRef="#ctx0" brushRef="#br0" timeOffset="2991.1">2588 533 24575,'-8'0'0,"6"0"0,13-7 0,16-3 0,21-10 0,14-1 0,6-9 0,0 1 0,-6 2 0,-12 6-8191</inkml:trace>
  <inkml:trace contextRef="#ctx0" brushRef="#br0" timeOffset="3302.65">3096 237 24575,'1'-1'0,"1"1"0,0-1 0,0 0 0,-1 0 0,1 1 0,-1-1 0,1 0 0,-1 0 0,1-1 0,-1 1 0,1 0 0,-1 0 0,0-1 0,0 1 0,1-1 0,-1 1 0,0-1 0,0 1 0,0-4 0,16-31 0,-17 36 0,0-1 0,1 1 0,-1-1 0,0 1 0,0-1 0,0 1 0,0 0 0,1-1 0,-1 1 0,0-1 0,0 1 0,0-1 0,0 1 0,0-1 0,0 1 0,0-1 0,0 1 0,0-1 0,-1 1 0,1-1 0,0 1 0,0-1 0,0 1 0,0 0 0,-1-1 0,1 1 0,0-1 0,0 1 0,-1 0 0,1-1 0,0 1 0,-1 0 0,1-1 0,0 1 0,-1 0 0,1-1 0,-1 1 0,1 0 0,-1 0 0,1-1 0,-1 1 0,-1 0 0,1 0 0,0 0 0,0 0 0,0 0 0,0 1 0,0-1 0,0 0 0,0 0 0,0 1 0,1-1 0,-1 1 0,0-1 0,0 1 0,0-1 0,0 1 0,0-1 0,-1 2 0,-1 1 0,0 0 0,1-1 0,-1 1 0,1 1 0,-1-1 0,1 0 0,0 0 0,0 1 0,0-1 0,1 1 0,-1 0 0,1-1 0,0 1 0,0 0 0,0 0 0,0 0 0,1 0 0,0 0 0,0-1 0,0 1 0,0 0 0,0 0 0,1 0 0,0 0 0,1 5 0,1-2 0,-1 0 0,2-1 0,-1 1 0,1-1 0,0 1 0,0-1 0,1 0 0,0-1 0,0 1 0,0-1 0,1 0 0,7 6 0,19 9 0,1 0 0,64 27 0,-46-24 0,-48-22 0,-1 0 0,1 0 0,-1 1 0,1-1 0,-1 1 0,1-1 0,-1 1 0,0 0 0,0 0 0,0 0 0,0 0 0,0 0 0,1 3 0,-2-5 0,-1 1 0,0-1 0,0 1 0,0-1 0,0 1 0,0-1 0,0 1 0,0-1 0,0 1 0,0-1 0,0 1 0,0-1 0,0 1 0,-1-1 0,1 1 0,0-1 0,0 1 0,0-1 0,-1 1 0,1-1 0,0 1 0,0-1 0,-1 0 0,1 1 0,0-1 0,-1 1 0,-23 11 0,-15-3-94,0-2 0,-1-1 0,0-3 0,-60-1-1,59-1-799,-27 0-5932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7:51.52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130 0 24575,'-2'2'0,"0"-1"0,0 1 0,1 0 0,-1 0 0,0 0 0,1 0 0,0 0 0,-1 0 0,1 0 0,0 0 0,0 0 0,0 1 0,0-1 0,0 0 0,0 5 0,-3 4 0,-17 42 0,3 2 0,2 1 0,-16 106 0,22-62 0,3 1 0,8 106 0,0-108 0,1-44 0,3-1 0,2 0 0,2 0 0,23 74 0,-2-8 0,-6 2 0,-5 0 0,5 176 0,21 265 0,-27 136 0,-20-488 0,3 19 0,-16 422 0,14-633 0,-2-1 0,0 0 0,-1 1 0,-12 31 0,14-44 0,-1 0 0,0 1 0,-1-1 0,1 0 0,-1-1 0,0 1 0,0-1 0,-1 0 0,0 1 0,0-1 0,0-1 0,0 0 0,-1 0 0,1 0 0,-11 5 0,14-8 0,0 0 0,0 0 0,1 0 0,-1-1 0,0 1 0,0-1 0,0 1 0,0-1 0,0 0 0,0 1 0,0-1 0,0 0 0,0 0 0,0-1 0,1 1 0,-1 0 0,0-1 0,0 1 0,0-1 0,0 1 0,0-1 0,1 0 0,-1 0 0,0 0 0,0 0 0,1 0 0,-1 0 0,1 0 0,-1-1 0,1 1 0,0-1 0,-1 1 0,1-1 0,0 1 0,0-1 0,0 0 0,0 1 0,0-1 0,1 0 0,-1 0 0,0 1 0,1-1 0,-1 0 0,1-3 0,-2-3 0,0 0 0,1 0 0,0 0 0,1-1 0,0 1 0,0 0 0,1 0 0,0-1 0,3-10 0,-2 13 0,0 0 0,1 0 0,0 1 0,0-1 0,0 1 0,0-1 0,1 1 0,8-9 0,-10 13 0,-1 0 0,0-1 0,1 1 0,-1 0 0,0 0 0,1 0 0,-1 0 0,1 0 0,0 0 0,-1 0 0,1 0 0,0 1 0,-1-1 0,1 1 0,0-1 0,0 1 0,0 0 0,-1 0 0,1 0 0,0 0 0,0 0 0,0 0 0,0 0 0,-1 0 0,1 1 0,0-1 0,0 1 0,-1-1 0,1 1 0,0 0 0,-1 0 0,1 0 0,-1 0 0,4 2 0,-2 0 0,1 1 0,-1 0 0,0-1 0,0 1 0,0 0 0,-1 0 0,1 1 0,-1-1 0,0 1 0,-1-1 0,3 9 0,9 57 0,-10-48 0,42 569 0,-44 7 0,-3-325 0,-1 40 0,6 475 0,50-99 0,-17-284 0,-14-151 0,12 231 0,-20-257 0,51 272 0,-17-285 0,-39-183 0,2-1 0,1 0 0,2-1 0,28 46 0,-35-66 0,1 1 0,0-1 0,1 0 0,0-1 0,0 0 0,1 0 0,0-1 0,1-1 0,0 1 0,14 6 0,-18-11 0,0 0 0,0 0 0,0-1 0,1 0 0,-1 0 0,1 0 0,-1-1 0,1-1 0,0 1 0,-1-1 0,1 0 0,0-1 0,-1 0 0,1 0 0,-1-1 0,1 1 0,-1-2 0,14-5 0,-5-1 0,0 0 0,0-1 0,-1-1 0,-1 0 0,23-23 0,63-81 0,19-54-1365,-11-2-5461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3:34.62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5567 14 24575,'34'-4'0,"-16"0"0,0 1 0,-1 1 0,1 1 0,31 2 0,-42 0 0,0 0 0,-1 1 0,1 0 0,-1 0 0,0 0 0,1 1 0,-1 0 0,0 0 0,0 1 0,-1 0 0,1 0 0,-1 0 0,0 0 0,0 1 0,0 0 0,-1 0 0,0 0 0,7 11 0,-5-5 0,-1 1 0,0 0 0,0 1 0,-2-1 0,1 1 0,-2 0 0,1 0 0,0 25 0,-8 304 0,2-279 0,-17 244 0,10-232 0,-28 108 0,18-98 0,-26 139 0,31-114 0,12-82 0,-1 2 0,-1-1 0,-1-1 0,-1 1 0,-2-1 0,-13 28 0,-41 60 0,35-68 0,2 1 0,-21 56 0,23-30 0,3 1 0,3 1 0,4 0 0,3 0 0,-1 93 0,6-17 0,-6 342 0,12-456 0,5 370 0,28-1 0,-14-244 0,-13-87 0,3-3 0,37 140 0,-9-94 0,56 159 0,-86-263 0,1 1 0,1 0 0,0-1 0,1-1 0,0 0 0,1-1 0,1-1 0,15 15 0,-21-22 0,0-1 0,1 0 0,-1-1 0,1 0 0,0 2 0,0-3 0,0 1 0,1-1 0,-1-1 0,1 1 0,-1-1 0,1 0 0,0-1 0,0 0 0,0 0 0,0-1 0,0 0 0,0 0 0,0-1 0,15-3 0,-15 1 0,0 0 0,0-1 0,0 0 0,0 0 0,-1-2 0,0 1 0,0 0 0,0-1 0,0 0 0,-1 0 0,0-1 0,0 1 0,-1-1 0,0 0 0,0 0 0,-1-1 0,1 0 0,4-13 0,-3 6 0,0-2 0,0 1 0,-2-1 0,0 1 0,-1 0 0,0 0 0,-2-1 0,0-33 0,-1 47 0,0 1 0,0-1 0,0 1 0,-1-1 0,1 1 0,-1 0 0,0-1 0,0 1 0,1 0 0,-1-1 0,-1 1 0,1 0 0,0 0 0,0 1 0,-1-1 0,-1-2 0,1 4 0,1-1 0,0 1 0,0-1 0,0 1 0,-1 0 0,1 0 0,0 0 0,0-1 0,-1 1 0,1 0 0,0 1 0,-1-1 0,1 0 0,0 0 0,0 0 0,-1 1 0,1-1 0,0 1 0,0-1 0,0 1 0,0-1 0,-1 1 0,1 0 0,0-1 0,0 1 0,0 0 0,0 0 0,1-1 0,-1 1 0,0 0 0,-1 1 0,-17 17 0,1 1 0,1 2 0,0 0 0,-13 22 0,-49 101 0,64-114 0,1 2 0,2-1 0,2 0 0,0 1 0,3 2 0,-4 32 0,6-11 0,2-2 0,3 0 0,6 56 0,11 619 0,-19-475 0,2-221 0,-1 47 0,18 147 0,62 300 0,-45 5 0,-33-452 0,0 14 0,-15 127 0,11-202 0,-1-1 0,0-1 0,-1 1 0,-1 0 0,-1-1 0,-1 0 0,0 1 0,-1-2 0,-1-1 0,0 0 0,-18 21 0,12-19 0,-1 0 0,-1-1 0,0-1 0,-1-2 0,0 0 0,-1-1 0,0 0 0,-41 15 0,-4-4 0,-2-1 0,0-4 0,-1-4 0,-1-3 0,0-2 0,-122 0 0,168-9 0,-1-2 0,1 0 0,-25-6 0,37 6 0,1-1 0,-1-1 0,1 0 0,0 0 0,0-1 0,0-1 0,1 2 0,-16-14 0,-24-32-1365,9 0-5461</inkml:trace>
  <inkml:trace contextRef="#ctx0" brushRef="#br0" timeOffset="1996">1799 9137 24575,'7'0'0,"2"4"0,0 3 0,-1 10 0,-3 11 0,-2 13 0,-1 13 0,-1 16 0,-9 17 0,-1 8 0,-1 0 0,-5-7 0,0-11 0,2-14 0,1-18 0,1-21 0,3-14-8191</inkml:trace>
  <inkml:trace contextRef="#ctx0" brushRef="#br0" timeOffset="2475.73">1523 9433 24575,'1'-9'0,"1"0"0,0 1 0,0 0 0,0 0 0,1-1 0,0 1 0,1-1 0,7-11 0,-1 1 0,8-16 0,2 1 0,1-1 0,48-57 0,-49 70 0,0 1 0,0 1 0,2 1 0,1 1 0,0 2 0,32-20 0,-46 32 0,-1-1 0,1 1 0,0 1 0,0-1 0,0 2 0,0-1 0,1 1 0,-1 1 0,16-1 0,-21 2 0,0 0 0,0 1 0,1-1 0,-1 1 0,0 0 0,0 0 0,0 1 0,0-1 0,0 1 0,-1 0 0,1 0 0,0 0 0,-1 0 0,1 1 0,-1 0 0,0-1 0,0 1 0,0 1 0,0 0 0,-1-1 0,1 0 0,-1 1 0,4 6 0,0 3 0,0 1 0,-1 0 0,-1 0 0,0 1 0,0 0 0,-2 0 0,2 22 0,-3 8 0,-4 54 0,0-73 0,-1 0 0,-1 0 0,-1 1 0,-1-3 0,-2 1 0,0-1 0,-24 45 0,10-31 0,-1 0 0,-2 0 0,-53 55 0,73-86 0,-45 43 0,49-48 0,-1 0 0,0 0 0,1 0 0,-1 0 0,0 0 0,0 0 0,-1-1 0,1 1 0,0-1 0,0 0 0,-1 0 0,1 0 0,-1-1 0,1 1 0,-1-1 0,-3 1 0,6-1 0,1 0 0,-1 0 0,0-1 0,1 1 0,-1 0 0,0 0 0,1 0 0,-1 0 0,0-1 0,1 1 0,-1 0 0,1 0 0,-1-1 0,1 1 0,-1-1 0,0 1 0,1 0 0,-1-1 0,1 1 0,-1-1 0,1 1 0,0-1 0,-1 0 0,1 1 0,0-1 0,-1 1 0,1-1 0,0 0 0,-1 0 0,1-1 0,0 1 0,1 0 0,-1-1 0,0 1 0,0-1 0,1 1 0,-1 0 0,1-1 0,-1 1 0,1 0 0,-1 1 0,1-2 0,1-1 0,1 0 0,0-1 0,0 0 0,0 1 0,0 0 0,1 0 0,-1-1 0,1 1 0,6-4 0,-4 5 0,0 0 0,1 0 0,-1 1 0,0-1 0,1 1 0,-1 1 0,0-1 0,1 1 0,-1 0 0,1 1 0,-1 0 0,0 0 0,1 0 0,-1 1 0,0-1 0,0 1 0,0 1 0,0-1 0,0 1 0,0 0 0,-1 2 0,0-2 0,1 1 0,4 5 0,11 10 0,-1 1 0,-1 1 0,-1 1 0,18 28 0,-21-31 0,3 8-99,20 26 319,-35-49-355,0-1 0,0 0 0,0 2 0,1-2 0,-1-1 0,1 1-1,-1 0 1,1-1 0,0 0 0,7 3 0,9-2-6691</inkml:trace>
  <inkml:trace contextRef="#ctx0" brushRef="#br0" timeOffset="3033.41">2180 9835 24575,'0'1'0,"0"0"0,0 0 0,0 0 0,0 0 0,0 0 0,1 0 0,-1 0 0,1 0 0,-1 0 0,1 0 0,-1 0 0,1 0 0,-1 0 0,1 0 0,0 0 0,0 0 0,-1 0 0,1-1 0,0 1 0,0 0 0,0 0 0,1 0 0,2 1 0,-1-1 0,1 1 0,-1-1 0,1 0 0,0 0 0,-1 0 0,5 0 0,2 0 0,-1 0 0,0-1 0,1 0 0,18-3 0,-23 2 0,0-1 0,0 1 0,0-1 0,-1 0 0,1-1 0,0 1 0,-1-1 0,1 1 0,-1-1 0,0-1 0,0 1 0,0-1 0,0 1 0,-1-1 0,1 0 0,-1 0 0,0-1 0,0 1 0,-1-1 0,1 1 0,2-10 0,0 1 0,-2-2 0,1 0 0,-2 1 0,0 0 0,-1-1 0,-1-23 0,0 33 0,0 0 0,-1 0 0,0 0 0,1 0 0,-2-1 0,1 1 0,-1 1 0,1-1 0,-2 0 0,-3-7 0,5 11 0,0-1 0,0 1 0,0 0 0,0 0 0,0 0 0,0 1 0,0-1 0,0 0 0,-1 0 0,1 1 0,0-1 0,0 0 0,-1 1 0,1-1 0,0 1 0,-1 0 0,1-1 0,-1 1 0,1 0 0,0 0 0,-1 0 0,1 0 0,-1 0 0,1 0 0,0 0 0,-1 1 0,1-1 0,-1 0 0,1 1 0,0-1 0,-1 1 0,1-1 0,0 1 0,0 0 0,0 0 0,-1-1 0,1 1 0,0 0 0,0 0 0,0 0 0,-1 2 0,-5 4 0,1-1 0,0 1 0,1 1 0,0 0 0,0 0 0,0 0 0,1 0 0,0-1 0,1 2 0,-5 16 0,0 7 0,-7 55 0,13-73 0,0 0 0,2 0 0,0 0 0,0 0 0,1 1 0,1 0 0,5 17 0,-6-27 0,1 0 0,0 1 0,0-1 0,1 0 0,0 0 0,-1 0 0,2 0 0,-1 0 0,0-1 0,1 0 0,0 1 0,0-1 0,0-1 0,1 1 0,-1-1 0,1 2 0,0-2 0,0-1 0,0 1 0,0-1 0,6 2 0,-3-1 0,1-1 0,-1 0 0,0-1 0,1 0 0,0-1 0,-1 1 0,1-1 0,-1 0 0,1-1 0,0 0 0,14-3 0,-11 0 0,-1 0 0,0-1 0,0 0 0,0-2 0,0 1 0,-1 0 0,16-14 0,-9 5 0,-1-1 0,0-1 0,-1 0 0,-1 0 0,-1-2 0,-1 0 0,0-1 0,14-33 0,-14 21 0,-1-2 0,-2 0 0,-1-1 0,-2 1 0,-1-1 0,-1 0 0,-3 1 0,0-3 0,-3 2 0,-1 0 0,-14-66 0,14 88 0,-1 1 0,-10-21 0,13 30 0,0 1 0,-1-1 0,1 0 0,-1 1 0,0-1 0,0 0 0,0 1 0,0-1 0,0 1 0,0 0 0,-1 0 0,1 1 0,-1-1 0,1 0 0,-1 1 0,-4-2 0,6 3 0,-1-1 0,1 1 0,0 0 0,-1 0 0,1 0 0,-1 0 0,1 0 0,-1 0 0,1 0 0,-1 1 0,1-1 0,-1 0 0,1 1 0,-1-1 0,1 1 0,0 0 0,-1-1 0,1 1 0,0 0 0,0 0 0,-1 0 0,1 0 0,0 0 0,0 0 0,0 0 0,-1 3 0,-2 1 0,0 2 0,1-2 0,0 1 0,0 0 0,-2 7 0,-1 6 0,2 1 0,0-1 0,1 1 0,1 1 0,1-2 0,1 0 0,0 1 0,2 0 0,0-1 0,1 1 0,6 20 0,-1-13 0,0 1 0,2-1 0,1 1 0,1-3 0,1 1 0,1-1 0,20 26 0,-22-36 11,1-1 0,0 0 0,1-1 0,0-1 0,1 0 0,1 0-1,0-2 1,0 0 0,1 0 0,28 11 0,-32-16-104,-1-1 0,1-1 1,1 0-1,-1 0 0,0-1 0,1-1 0,-1 0 0,1 0 1,-1-2-1,1 0 0,-1 0 0,0-1 0,1-1 1,-1 0-1,20-7 0,10-13-6733</inkml:trace>
  <inkml:trace contextRef="#ctx0" brushRef="#br0" timeOffset="3795.55">3280 9899 24575,'2'0'0,"-1"0"0,1-1 0,-1 1 0,0-1 0,1-1 0,-1 2 0,1-1 0,-1 0 0,0 0 0,0 0 0,1 1 0,-1-1 0,0-1 0,0 1 0,0 0 0,0 0 0,0 0 0,-1 0 0,1-1 0,0 1 0,0 0 0,-1-1 0,1 1 0,-1-1 0,1 1 0,-1-3 0,10-41 0,-10 44 0,1-9 0,0 1 0,-1 0 0,0 0 0,-1 0 0,0 0 0,-1-2 0,0 2 0,0 0 0,-1 0 0,0 1 0,0-1 0,-1 0 0,-1 1 0,-5-10 0,7 14 0,0-1 0,0 1 0,-1 1 0,1 0 0,-1-1 0,0 0 0,0 1 0,0 0 0,0 0 0,-1 0 0,1 1 0,-1-2 0,1 2 0,-1 0 0,0 1 0,0-1 0,0 1 0,0 0 0,0 0 0,0 0 0,0 1 0,-1-1 0,1 1 0,0 1 0,0-1 0,0 1 0,-5 1 0,5 0 0,0-1 0,1 1 0,0 0 0,-1 2 0,1-2 0,0 1 0,0 0 0,0 0 0,1 0 0,-1 0 0,1 1 0,0 0 0,0-2 0,0 2 0,0 0 0,1 1 0,-1-1 0,1 0 0,0 1 0,0-1 0,1 1 0,-2 7 0,-2 9 0,0 0 0,2 1 0,-1 34 0,4-43 0,0 0 0,1-1 0,1 1 0,0 0 0,0 0 0,2-1 0,-1 0 0,9 19 0,-10-27 0,0-1 0,0 1 0,0-1 0,1 0 0,-1 1 0,1-1 0,-1 0 0,1-1 0,0 1 0,0 0 0,1-1 0,-1 0 0,5 3 0,-5-4 0,0 0 0,0 0 0,1 0 0,-1 0 0,0-1 0,0 0 0,0 0 0,1 0 0,-1 0 0,0 0 0,0 0 0,1-1 0,-1 0 0,0 1 0,0-1 0,0-1 0,0 1 0,6-3 0,-1-1 0,0 0 0,-1-1 0,1 0 0,-1 0 0,0-1 0,0 0 0,-1 0 0,0 0 0,-1-1 0,1 0 0,-1 1 0,-1-1 0,5-11 0,-2 3 0,-1-1 0,0 0 0,-1 0 0,-1-1 0,0 1 0,1-19 0,-5 32 0,0 0 0,0 0 0,-1 1 0,1-1 0,-1 0 0,1 1 0,-1-1 0,-1 1 0,1-1 0,-2-4 0,2 7 0,1 1 0,0-1 0,-1 1 0,1-1 0,0 1 0,-1-1 0,1 1 0,-1-1 0,1 1 0,-1-1 0,1 1 0,-1 0 0,1-1 0,-1 1 0,1 0 0,-1-1 0,0 1 0,1 0 0,-1 0 0,0-1 0,1 1 0,-1 0 0,0 0 0,-1 0 0,1 1 0,0-1 0,0 1 0,0-1 0,0 1 0,0-1 0,0 1 0,0 0 0,0-1 0,0 1 0,0 0 0,0 0 0,1 0 0,-1 0 0,0 0 0,0 0 0,0 2 0,-2 1 0,1 0 0,1 0 0,-1 0 0,0 0 0,1 0 0,0 0 0,0 1 0,0-1 0,1 0 0,0 1 0,-1 0 0,1-1 0,1 1 0,-1-1 0,1 0 0,-1 1 0,1-2 0,1 1 0,-1 0 0,0 1 0,1-1 0,0 0 0,0-1 0,0 1 0,1 0 0,-1 0 0,1-1 0,0 0 0,0 1 0,0-1 0,4 3 0,-3-2 0,0-1 0,0 0 0,0 0 0,0 0 0,0 0 0,1 0 0,-1-1 0,1 0 0,-1 0 0,1 0 0,0 0 0,0-1 0,0 0 0,0 0 0,0 0 0,0-1 0,0 0 0,0 0 0,0 0 0,0 0 0,0-1 0,0 0 0,0 0 0,0 0 0,0-1 0,0 1 0,5-4 0,-1-1 0,-1 0 0,-1 0 0,1-1 0,-1-1 0,0 1 0,-1-1 0,1 0 0,-2 0 0,1-1 0,-1 1 0,-1-1 0,1 0 0,3-13 0,3-12 0,-1 0 0,7-51 0,1-57 0,-17 124 0,0 1 0,-2-1 0,0 2 0,-2-2 0,-7-32 0,9 50 0,1 0 0,0 0 0,0 1 0,0-1 0,0 0 0,0 0 0,0 0 0,-1 0 0,1 1 0,0-1 0,0 0 0,0 0 0,-1 0 0,1 0 0,0 0 0,0 0 0,0 0 0,-1 0 0,1 1 0,0-1 0,0 0 0,0 0 0,-1 0 0,1 0 0,0 0 0,0 0 0,0 0 0,-1 0 0,1 0 0,0 0 0,0 0 0,0-1 0,-1 1 0,1 0 0,0 0 0,0 0 0,0 0 0,-1 0 0,1 0 0,0 0 0,0 0 0,0-1 0,0 1 0,-1 0 0,1 0 0,0 0 0,0 0 0,0-1 0,0 1 0,0 0 0,0 0 0,-1 0 0,1-1 0,0 1 0,0 0 0,0 0 0,-5 22 0,-3 57 0,3 1 0,10 119 0,-5-199-2,1 31 63,10 47 0,-10-70-196,1 0 0,0 0 0,1 0 0,0 0 0,0-1 0,1 1 0,1-1 0,-1 0 0,0 0 0,12 13 0,7-2-6691</inkml:trace>
  <inkml:trace contextRef="#ctx0" brushRef="#br0" timeOffset="4126.61">3407 9708 24575,'-1'0'0,"0"-1"0,0 1 0,1 0 0,-1 0 0,0 1 0,0-1 0,0 0 0,0 0 0,0 0 0,0 0 0,1 1 0,-1-1 0,0 0 0,0 1 0,0-1 0,1 1 0,-1-1 0,0 1 0,-1 0 0,3 0 0,-1-1 0,1 1 0,-1-1 0,1 0 0,-1 1 0,1-1 0,-1 0 0,1 0 0,0 1 0,-1-1 0,1 0 0,-1 0 0,1 0 0,0 0 0,-1 0 0,1 0 0,-1 0 0,1 0 0,0 0 0,-1 0 0,1 0 0,0 0 0,-1 0 0,1 0 0,-1 0 0,1-1 0,-1 1 0,1 0 0,0-1 0,0 1 0,41-12 0,64-26 0,1-1 0,-105 38 0,0 1 0,0-1 0,-1 1 0,1-1 0,0 1 0,0 0 0,0-1 0,0 1 0,0 0 0,0 0 0,0 0 0,-1 1 0,1-1 0,0 0 0,0 1 0,0-1 0,0 1 0,-1 0 0,1 0 0,0 0 0,-1-1 0,1 1 0,-1 1 0,1-1 0,-1 0 0,1 1 0,-1-1 0,0 1 0,1-1 0,-1 1 0,0-1 0,0 1 0,0 0 0,0-1 0,0 1 0,0 2 0,2 6 0,0-1 0,0 1 0,-1 1 0,-1-1 0,1 14 0,-1-6 0,0-10 0,0 1 0,1 0 0,-1-1 0,2 1 0,-1-2 0,1 1 0,0 0 0,1-1 0,7 13 0,-9-17 0,0 0 0,1-1 0,-1 1 0,1-1 0,-1 1 0,1-1 0,0 0 0,0 0 0,0-1 0,0 1 0,0 0 0,0-1 0,1 0 0,-1 0 0,0 0 0,1 0 0,-1-1 0,1 1 0,-1-1 0,1 0 0,-1 0 0,1 0 0,-1 0 0,1 0 0,-1-1 0,6-1 0,7-3-114,-1-1 1,0 0-1,-1-1 0,1-1 0,-2 0 1,1 0-1,-1-2 0,0 0 0,-1 1 1,0-2-1,13-17 0,22-26-6712</inkml:trace>
  <inkml:trace contextRef="#ctx0" brushRef="#br0" timeOffset="4218.25">3853 9284 24575,'0'0'0,"-8"0"0,-1 8 0,0 1-8191</inkml:trace>
  <inkml:trace contextRef="#ctx0" brushRef="#br0" timeOffset="4836.26">4022 9623 24575,'0'17'0,"1"0"0,1-2 0,1 1 0,0 0 0,7 21 0,-7-28 0,0-1 0,1 2 0,0-2 0,0 0 0,1 0 0,0-1 0,0 0 0,1 1 0,0-1 0,11 10 0,-16-16 0,0 0 0,0 0 0,0 0 0,1 0 0,-1-1 0,0 1 0,0 0 0,1-1 0,-1 1 0,0-1 0,1 1 0,-1-1 0,1 0 0,-1 1 0,0-1 0,1 0 0,-1 0 0,1 0 0,-1 0 0,1 0 0,-1 0 0,0-1 0,1 1 0,-1 0 0,1-1 0,-1 1 0,0-1 0,1 1 0,-1-1 0,0 0 0,0 1 0,1-1 0,-1 0 0,0 0 0,0 0 0,0 0 0,0 0 0,0 0 0,0 0 0,0-1 0,0-1 0,4-4 0,0-1 0,-1 0 0,0 0 0,-1 0 0,4-13 0,1-14 0,-1 0 0,-2 0 0,1-44 0,1-1 0,-7 79 0,0 1 0,1-1 0,-1 1 0,0 0 0,1-2 0,-1 2 0,0-1 0,1 1 0,-1 0 0,1-1 0,-1 1 0,0 0 0,1-1 0,-1 1 0,1 0 0,-1 0 0,1-1 0,-1 1 0,1 0 0,-1 0 0,1 0 0,-1 0 0,1 0 0,-1 0 0,1-1 0,-1 1 0,1 1 0,-1-1 0,1 0 0,0 0 0,-1 0 0,1 0 0,-1 0 0,1 0 0,-1 0 0,1 1 0,-1-1 0,0 0 0,1 1 0,30 12 0,-19-9 0,-3 0 0,1-1 0,0-1 0,0 0 0,0 0 0,0-1 0,0 0 0,0-1 0,0 0 0,1-1 0,13-2 0,-16 1 0,-1 0 0,0-1 0,0 0 0,0 0 0,-1 0 0,1-1 0,-1 0 0,0-1 0,0 0 0,0 0 0,0 0 0,-1 0 0,0-1 0,8-11 0,-6 7 0,-1 1 0,0-2 0,-1 1 0,7-17 0,-10 23 0,0-1 0,-1 1 0,0-1 0,0 0 0,0 1 0,-1-1 0,0 1 0,1 0 0,-1-1 0,-1 1 0,1-1 0,-1 1 0,0-1 0,-2-7 0,2 11 0,1 0 0,-1 0 0,1 0 0,-1 0 0,0 0 0,1 0 0,-1 0 0,0 0 0,0 1 0,0-1 0,0 0 0,0 0 0,0 1 0,0-1 0,0 1 0,0-1 0,0 1 0,0-1 0,0 1 0,0 0 0,0 0 0,-1-1 0,1 1 0,0 0 0,0 0 0,0 0 0,0 0 0,-1 0 0,1 0 0,0 1 0,0-1 0,0 0 0,0 1 0,0-1 0,0 1 0,0-1 0,-1 1 0,0 0 0,-4 2 0,1 1 0,-1-1 0,1 1 0,0 0 0,-9 8 0,4 1 0,0 0 0,1 1 0,1 0 0,0 0 0,0-1 0,2 2 0,0-1 0,0 2 0,1-1 0,1 1 0,1 0 0,0 0 0,1-1 0,1 30 0,1-40 0,0 0 0,0 0 0,1 0 0,0 0 0,0 1 0,1-1 0,-1-1 0,1 1 0,0 0 0,0 1 0,1-2 0,-1 1 0,1-1 0,0 0 0,1 0 0,-1 0 0,0-1 0,1 1 0,6 4 0,-3-4 0,-1 0 0,0-1 0,1 0 0,0 0 0,0-1 0,-1 1 0,1-2 0,1 1 0,-1-1 0,0 0 0,0 0 0,0-1 0,13-1 0,6-2-151,-1-1-1,0-2 0,0 0 0,0-2 1,-1-1-1,0 1 0,-1-3 1,24-16-1,14-11-6674</inkml:trace>
  <inkml:trace contextRef="#ctx0" brushRef="#br0" timeOffset="6426.9">296 10893 24575,'-2'-4'0,"0"1"0,0 0 0,0-1 0,0 1 0,0 0 0,-1 0 0,1 0 0,-1 1 0,0-1 0,0 0 0,0 1 0,0 0 0,0 0 0,0 0 0,-1 0 0,1 0 0,-1 1 0,1-1 0,-1 1 0,0 0 0,0 0 0,1 0 0,-1 1 0,0 0 0,-6-1 0,4 2 0,0 0 0,1 0 0,-1 0 0,1 1 0,-1 0 0,1 0 0,0 0 0,-1 0 0,1 1 0,1 0 0,-1 0 0,0 1 0,1-1 0,-1 1 0,1 0 0,0 0 0,-4 5 0,-5 10 0,1-1 0,1 3 0,0-2 0,1 1 0,2 0 0,0 2 0,-9 38 0,8-20 0,2 0 0,2 1 0,0 59 0,5-88 0,0 0 0,1 1 0,1-2 0,0 1 0,1 0 0,0-1 0,0 1 0,1-1 0,1 0 0,0 0 0,9 13 0,-10-16 0,1-2 0,0-1 0,1 1 0,-1 0 0,1-1 0,0 1 0,0-2 0,1 1 0,0-1 0,0 0 0,0 0 0,0-1 0,0 0 0,1 0 0,-1 0 0,1-1 0,0 0 0,8 0 0,0-1 0,0 0 0,0-2 0,0 0 0,0 0 0,0-2 0,-1 0 0,1 0 0,19-9 0,7-4 0,68-37 0,-69 30 0,0-2 0,44-35 0,-63 40 0,0 1 0,-1-1 0,-2-2 0,32-43 0,-47 60 0,0 0 0,0-1 0,-1 1 0,0-1 0,0 0 0,-1 0 0,1 0 0,-1-1 0,-1 1 0,1 0 0,-1-1 0,0-12 0,0 19 0,-1-1 0,0 0 0,0 1 0,0-1 0,0 0 0,-1 1 0,1-1 0,0 0 0,0 1 0,0-1 0,0 0 0,-1 1 0,1-1 0,0 0 0,-1 1 0,1-1 0,0 0 0,-1 1 0,1-1 0,-1 1 0,1-1 0,-1 1 0,1-1 0,-1 1 0,1 0 0,-1-1 0,0 1 0,1-1 0,-1 1 0,0 0 0,1 0 0,-1-1 0,0 1 0,1 0 0,-1 0 0,0 0 0,1 0 0,-1 0 0,0 0 0,1 0 0,-1 0 0,0 0 0,0 0 0,1 0 0,-1 0 0,0 1 0,1-1 0,-1 0 0,0 0 0,1 1 0,-1-1 0,1 0 0,-1 1 0,0-1 0,0 1 0,-4 2 0,1 0 0,-1 1 0,1-1 0,0 1 0,-7 7 0,4-1 0,-1 1 0,2 1 0,-1-1 0,2 1 0,-1 0 0,2 1 0,-1 0 0,2-1 0,0 1 0,0-1 0,1 1 0,1 1 0,0-1 0,1 0 0,0 0 0,4 22 0,-3-28 0,0 1 0,0-1 0,1 0 0,0 1 0,1-1 0,0 0 0,0-1 0,0 1 0,1 0 0,0-1 0,0 0 0,0 0 0,1 0 0,0 0 0,0-1 0,1 0 0,-1 1 0,1-2 0,0 0 0,1 0 0,-1 0 0,1-1 0,-1 1 0,1-2 0,0 1 0,0-1 0,1 1 0,-1-2 0,0 1 0,11 0 0,-9-2 0,-1 0 0,1 0 0,0-1 0,-1 0 0,1 0 0,0-1 0,-1 0 0,0-1 0,1 0 0,-1 0 0,9-5 0,-6 1 0,0 1 0,0-2 0,-1 0 0,0-1 0,-1 0 0,17-19 0,-12 10 0,-1-1 0,-1 0 0,0-1 0,-2 0 0,0-1 0,-2 0 0,0-1 0,7-31 0,-6 7 0,-2-1 0,-2 0 0,-3-1 0,-5-82 0,2 118 0,0 0 0,-2 0 0,1 1 0,-6-14 0,7 23 0,1 0 0,-1 1 0,0-1 0,0 1 0,1-1 0,-1 1 0,0-1 0,0 1 0,-1 0 0,1-1 0,0 1 0,0 0 0,-1 0 0,1 0 0,-3-2 0,3 3 0,-1 0 0,1 0 0,0 0 0,0 0 0,0 0 0,0 0 0,-1 0 0,1 0 0,0 1 0,0-1 0,0 0 0,0 1 0,0-1 0,-1 1 0,1-1 0,0 1 0,0 0 0,0-1 0,0 1 0,1 0 0,-1 0 0,0-1 0,0 1 0,0 0 0,1 0 0,-2 2 0,-3 5 0,0 0 0,0 1 0,1-1 0,0 0 0,0 1 0,1 0 0,0 0 0,1 0 0,0 0 0,-1 15 0,-1 16 0,2 42 0,2-58 0,1 1 0,2-1 0,0 0 0,2 0 0,1-1 0,15 41 0,-17-53 0,1-1 0,0 0 0,1-1 0,0 1 0,0-1 0,1 0 0,12 11 0,-14-15 0,0-1 0,1 2 0,0-2 0,0-1 0,0 0 0,0 0 0,0 0 0,1 0 0,-1-1 0,1 0 0,0 0 0,13 2 0,-14-4 0,1 1 0,-1-1 0,1 0 0,0-1 0,-1 1 0,1-1 0,-1-1 0,1 1 0,-1-1 0,0 0 0,0-1 0,0 1 0,0-1 0,6-3 0,-4 0 0,0-1 0,-1 1 0,1-1 0,-2 0 0,1 0 0,-1 0 0,0-1 0,9-14 0,-6 4 0,0 0 0,-2 1 0,0-2 0,-1 0 0,0 0 0,-2 0 0,0 0 0,2-37 0,-6 49 0,0 0 0,-1 0 0,0 0 0,0 0 0,0 0 0,-1 0 0,0 1 0,-1-1 0,1 1 0,-6-10 0,7 14 0,0 0 0,0 1 0,0-1 0,0 1 0,0 0 0,-1-1 0,1 1 0,0 0 0,-1 0 0,1-1 0,-1 1 0,1 0 0,-1 1 0,0-1 0,1 0 0,-1 0 0,0 1 0,0-1 0,1 1 0,-1 0 0,0 0 0,0 0 0,0 0 0,1 0 0,-1 0 0,0 0 0,0 0 0,0 0 0,0 0 0,1 0 0,-1 1 0,0-1 0,0 1 0,1 0 0,-1-1 0,1 1 0,-1 0 0,0 0 0,1 0 0,-1 0 0,1 1 0,0-1 0,-2 2 0,-5 4 0,1 1 0,1 0 0,-1 0 0,1 0 0,1 1 0,-1 0 0,2 0 0,-1 0 0,1 0 0,0 1 0,1 1 0,-2 9 0,0 0 0,1 1 0,1 1 0,1-1 0,1 41 0,2-52 0,0 1 0,0-1 0,1 0 0,0 1 0,1-1 0,0 0 0,1 0 0,0-1 0,1 2 0,0-3 0,0 1 0,8 10 0,-7-12 0,0 0 0,1 0 0,0-1 0,0 0 0,1-1 0,-1 0 0,1 0 0,0 0 0,0-1 0,1 0 0,-1-1 0,1 0 0,0 0 0,12 2 0,3-2 14,-1 0-1,1-2 0,0 0 0,0-2 1,0 0-1,0-2 0,-1-1 1,26-7-1,-23 4-225,0-1 0,-1-1 0,0-2-1,0 0 1,-1-2 0,42-28 0,-16-3-6614</inkml:trace>
  <inkml:trace contextRef="#ctx0" brushRef="#br0" timeOffset="6954.62">2645 10787 24575,'-3'0'0,"-2"7"0,0 15 0,2 7 0,0 16 0,1 15 0,1 10 0,1 1 0,0-1 0,0-8 0,0-8 0,1-21 0,-1-15-8191</inkml:trace>
  <inkml:trace contextRef="#ctx0" brushRef="#br0" timeOffset="7325.02">2307 10872 24575,'0'-17'0,"2"1"0,0 1 0,1-2 0,1 1 0,0 0 0,1 0 0,1 1 0,0-1 0,1 2 0,1 0 0,0 0 0,1-1 0,1 2 0,0 0 0,1 0 0,0 1 0,1 1 0,20-16 0,-7 8 0,0 0 0,2 2 0,0 2 0,1 0 0,1 2 0,0 1 0,0 1 0,54-11 0,-66 19 0,-1 0 0,1 1 0,-1 0 0,1 2 0,0 0 0,-1 1 0,1 0 0,16 4 0,-26-3 0,0 0 0,0-1 0,0 2 0,-1-1 0,1 2 0,-1-1 0,0 1 0,0-1 0,0 2 0,0-1 0,-1 1 0,1 0 0,-1 0 0,-1 0 0,1 0 0,-1 1 0,0 0 0,0 0 0,0 0 0,-1 1 0,3 6 0,-2-1 0,-1 1 0,-1-2 0,1 1 0,-2 1 0,0-1 0,0 0 0,-1 0 0,-1 1 0,0-1 0,-1 0 0,0 1 0,-1-1 0,0-1 0,-9 21 0,1-3 0,-3-2 0,0 1 0,-1-2 0,-36 45 0,20-34 0,-2-3 0,-52 44 0,63-59 0,15-14 0,-23 25 0,30-29 0,-1-1 0,1 1 0,-1 0 0,1-1 0,-1 1 0,1-1 0,0 1 0,-1 0 0,1 0 0,0-1 0,-1 1 0,1 0 0,0-1 0,0 1 0,0 0 0,0 0 0,0-1 0,0 1 0,0 0 0,0 0 0,0 0 0,0-1 0,0 1 0,0 0 0,1-1 0,-1 1 0,0 0 0,0 0 0,1-1 0,-1 1 0,1 0 0,-1-1 0,1 1 0,-1-1 0,1 1 0,-1-1 0,1 1 0,-1-1 0,1 1 0,-1-1 0,1 1 0,0-1 0,-1 1 0,2-1 0,121 48 0,-27-12 0,106 61-1365,-156-73-5461</inkml:trace>
  <inkml:trace contextRef="#ctx0" brushRef="#br0" timeOffset="9050.9">3238 11232 24575,'6'0'0,"0"-1"0,1 1 0,-1-1 0,0 0 0,0-1 0,1 1 0,-1-1 0,0-1 0,-1 1 0,1 0 0,0-1 0,-1 0 0,0 0 0,1-2 0,-1 1 0,-1 0 0,1 0 0,-1-1 0,1 1 0,-1-1 0,0 0 0,-1-1 0,1 1 0,-1 0 0,0-1 0,-1 0 0,1 0 0,-1 0 0,0 0 0,2-12 0,-4 17 0,1-1 0,-1 0 0,1 0 0,-1 0 0,0 1 0,0-1 0,0 0 0,1 0 0,-2 0 0,1 1 0,0 0 0,0-1 0,-1 0 0,1 0 0,-1 1 0,1-1 0,-1 0 0,0 0 0,1 0 0,-1 0 0,0 1 0,0-1 0,0 1 0,-1-1 0,1 1 0,0 0 0,0 0 0,-1-1 0,1 1 0,-1 0 0,1 0 0,-1 0 0,1 0 0,-1 1 0,0-1 0,1 0 0,-1 1 0,0-1 0,0 1 0,-2-1 0,-1 1 0,1 0 0,-1 0 0,0 0 0,0 0 0,1 1 0,-1 0 0,0 0 0,1 0 0,-1 0 0,1 1 0,-1 0 0,1 0 0,0 0 0,-6 4 0,4-1 0,0 1 0,0 0 0,0-1 0,1 1 0,0 0 0,0 0 0,1 1 0,0 0 0,0 0 0,0 0 0,1 0 0,0 0 0,1 1 0,-1 0 0,1-1 0,1 1 0,-2 14 0,3-16 0,0-1 0,0-1 0,0 0 0,1 1 0,-1 0 0,1 0 0,0-1 0,1 1 0,-1 0 0,1-1 0,0 0 0,0 1 0,0-1 0,1 0 0,-1 0 0,1 0 0,0 0 0,0-1 0,0 1 0,1-1 0,-1 0 0,1 0 0,0 0 0,0 0 0,0 0 0,0-1 0,1 0 0,-1 0 0,0 0 0,8 1 0,1 0 0,0 0 0,0-1 0,0-1 0,0-1 0,1 0 0,-1 0 0,0-1 0,0-1 0,0 0 0,0-1 0,0 0 0,-1-1 0,1 0 0,-1-1 0,15-8 0,-9 3 0,0-1 0,-1 0 0,0-1 0,0-1 0,-2 0 0,1 0 0,-2-3 0,0 1 0,14-21 0,-14 13 0,-1 1 0,0-2 0,-2 0 0,-1 0 0,0-1 0,-2 0 0,-1 0 0,-1-2 0,-1 1 0,-2 0 0,0-1 0,-2 2 0,-1-3 0,-1 2 0,-6-38 0,-7 16 0,14 46 0,-1 0 0,0 0 0,0 0 0,0 0 0,0 0 0,0 0 0,-1 0 0,1 0 0,-1 1 0,1-1 0,-1 0 0,1 1 0,-1-1 0,0 1 0,0 0 0,0-1 0,-2 0 0,3 2 0,0 0 0,0 0 0,0 0 0,0 0 0,0 0 0,0 0 0,0 1 0,0-1 0,1 0 0,-1 0 0,0 1 0,0-1 0,0 1 0,0-1 0,0 1 0,1-1 0,-1 1 0,0 0 0,0-1 0,1 1 0,-1 0 0,0-1 0,1 1 0,-1 0 0,1 0 0,-1 0 0,1 0 0,-1-1 0,1 1 0,0 0 0,-1 0 0,1 2 0,-11 36 0,11-37 0,-10 56 0,4 2 0,1 103 0,5-99 0,-1 50 0,1 384 0,7-350 0,33 195 0,-37-323 0,0-1 0,2 0 0,0 0 0,1 0 0,1 0 0,17 30 0,-23-47 0,0 0 0,1 0 0,-1 0 0,1 0 0,-1-1 0,1 1 0,0 0 0,0-1 0,-1 1 0,1-1 0,0 1 0,3 0 0,-4-1 0,0-1 0,0 0 0,0 0 0,0 1 0,0-1 0,1 0 0,-1 0 0,0 0 0,0 0 0,0 0 0,0-1 0,0 1 0,0 0 0,0 0 0,0-1 0,0 1 0,0 0 0,0-1 0,0 1 0,1-2 0,1-1 0,0 0 0,0 0 0,0 0 0,0-1 0,0 1 0,-1-1 0,0 0 0,1 0 0,-1 0 0,-1 0 0,1 0 0,1-4 0,5-20 0,-1 0 0,-1-1 0,3-44 0,-3-92 0,-6 141 0,1-112 0,-7 1 0,-36-221 0,39 340 0,0-1 0,-2 1 0,1 1 0,-2 0 0,0-2 0,-1 2 0,0 1 0,-1-1 0,-1 1 0,0 0 0,-15-16 0,19 25 0,3 4 0,0-1 0,0 0 0,0 0 0,1 0 0,-1-1 0,1 1 0,0 0 0,-1 0 0,-1-5 0,3 6 0,1 1 0,-1-1 0,0 0 0,0 0 0,1 0 0,-1 0 0,0 0 0,1 0 0,-1 0 0,1 0 0,-1 1 0,1-1 0,0 0 0,-1 0 0,1 1 0,0-1 0,-1 0 0,1 1 0,0-1 0,0 1 0,-1-1 0,1 1 0,0-1 0,0 1 0,0 0 0,0-1 0,0 1 0,0 0 0,1-1 0,53-21 0,-19 8 0,-1-1 0,39-23 0,-66 33 0,1-1 0,-1 0 0,-1 0 0,1 0 0,-1-1 0,0 0 0,0 0 0,-1-1 0,0 0 0,-1 0 0,1 0 0,-1-1 0,5-13 0,-9 18 0,0 0 0,0 1 0,0-1 0,0 0 0,-1 0 0,0-1 0,0 0 0,0 1 0,0 0 0,-1 0 0,-1-8 0,1 10 0,1 1 0,0 0 0,-1-1 0,0 1 0,1 0 0,-1 0 0,0 0 0,1-1 0,-1 1 0,0 0 0,0 0 0,0 0 0,0 0 0,0 0 0,0 0 0,0 1 0,-1-1 0,1 0 0,0 1 0,0-1 0,-1 0 0,1 1 0,0 0 0,-1-1 0,1 1 0,0 0 0,-1-1 0,1 1 0,0 0 0,-1 0 0,1 0 0,-1 0 0,1 1 0,0-1 0,-1 0 0,1 0 0,0 1 0,-3 0 0,-3 2 0,0 0 0,1 1 0,-1 0 0,1 0 0,0 0 0,0 1 0,1-1 0,-1 1 0,1 1 0,0-1 0,0 2 0,1-1 0,0 0 0,0-1 0,0 2 0,1-1 0,-1 1 0,2 0 0,-4 9 0,4-9 0,0 0 0,0 0 0,1 0 0,-1 0 0,1 0 0,1 0 0,0 0 0,0 0 0,0 1 0,1 0 0,0-2 0,0 1 0,1 0 0,0-1 0,0 1 0,0 0 0,1-1 0,0 1 0,0-1 0,7 9 0,-3-8 0,0 0 0,0 0 0,0-1 0,1 0 0,0 0 0,1-1 0,-1 1 0,1-1 0,0-1 0,0-2 0,0 2 0,1-1 0,-1-1 0,1 0 0,-1 0 0,1-1 0,20 1 0,-21-2 0,0-1 0,0 1 0,0-2 0,0 1 0,0-1 0,0 0 0,0-1 0,-1 0 0,1 1 0,-1-2 0,0 0 0,0-2 0,0 1 0,0 0 0,-1 0 0,0-1 0,0 0 0,-1-1 0,9-9 0,-8 4 0,0-1 0,-1 0 0,0 0 0,-1-1 0,0 2 0,-1-3 0,-1 1 0,0-1 0,-1 1 0,0 0 0,-1-1 0,-2-19 0,1 30 0,0-1 0,0 0 0,-1 0 0,0 1 0,0 0 0,0 0 0,-1-1 0,1 1 0,-1 0 0,0 0 0,0 0 0,0 1 0,-1-1 0,1 0 0,-1 1 0,0 0 0,-4-5 0,5 7 0,0 0 0,0 0 0,0 0 0,0 0 0,-1 0 0,1 0 0,0 0 0,0 1 0,-1-1 0,1 1 0,0 0 0,-1-1 0,1 1 0,0 0 0,-1 0 0,1 1 0,0-1 0,-1 0 0,1 1 0,0 0 0,-1-1 0,1 1 0,0 0 0,0 0 0,0 0 0,0 0 0,0 1 0,0-1 0,0 0 0,0 1 0,0 0 0,1-1 0,-3 4 0,2-3 0,0 0 0,-1 0 0,1 0 0,0 0 0,1 1 0,-1-1 0,0 1 0,1 0 0,-1-1 0,1 1 0,0 0 0,0 0 0,0 0 0,0 0 0,1 0 0,-1 0 0,1 0 0,0 0 0,-1 1 0,2 4 0,-1-6 0,1 1 0,0-2 0,0 2 0,0-1 0,0 0 0,1 0 0,-1 1 0,0-1 0,1 0 0,-1 0 0,1 0 0,0-1 0,0 1 0,0 0 0,0-1 0,0 1 0,0-1 0,0 0 0,0 1 0,1-1 0,-1 0 0,0 0 0,1-1 0,-1 1 0,5 0 0,11 3 0,1-2 0,0 0 0,-1-1 0,1-1 0,0-1 0,32-5 0,-34 6 0,-12 7 0,-16 18 0,2-7 0,4-3 0,0 1 0,0-2 0,1 1 0,1 1 0,1-1 0,-1 18 0,3-28 0,0 0 0,0 0 0,1-1 0,0 1 0,0 0 0,0 0 0,0 0 0,1-1 0,0 0 0,4 8 0,-4-9 0,0-1 0,0 1 0,0-1 0,0 0 0,1 1 0,-1-1 0,1 0 0,0 0 0,-1-1 0,1 1 0,0-1 0,0 1 0,0-1 0,0 0 0,0 0 0,0 0 0,6 0 0,0 0 0,0 0 0,0-1 0,0-1 0,0 0 0,1 0 0,-2 0 0,1-1 0,0-1 0,0 0 0,-1 0 0,1 0 0,14-9 0,-8 3 0,1 0 0,-1-1 0,-1-2 0,0 1 0,19-21 0,-19 16 0,-1-1 0,0-1 0,-1 1 0,-1-2 0,10-21 0,-16 29 0,0 0 0,-1-1 0,0 0 0,-1 0 0,-1 1 0,1-1 0,-2-1 0,0 1 0,0-1 0,-2-13 0,1 22 0,-1-1 0,0 1 0,0 0 0,0 0 0,-1-1 0,1 1 0,-1 0 0,0 0 0,0 1 0,0-1 0,-1 0 0,-3-2 0,5 4 0,0 1 0,-1-1 0,1 1 0,-1 0 0,0 0 0,1 0 0,-1 0 0,0 0 0,1 0 0,-1 0 0,0 1 0,0-2 0,0 2 0,0-1 0,0 1 0,0 0 0,0 0 0,0 0 0,0 0 0,0 0 0,0 0 0,0 0 0,0 0 0,1 1 0,-1-1 0,0 2 0,0-1 0,-3 1 0,-1 1 0,0 1 0,1 0 0,-1-1 0,1 1 0,0 1 0,0-1 0,0 1 0,0 0 0,1 1 0,-5 8 0,-2 3 0,1 2 0,-10 23 0,15-31 0,0 1 0,1 1 0,1-1 0,0 1 0,0 0 0,1 0 0,1 0 0,0 0 0,1 2 0,2 13 0,-1-22 0,0 0 0,0 0 0,1-1 0,-1 1 0,2 0 0,-1-1 0,0 1 0,1-1 0,0 0 0,0 0 0,1 0 0,-1 0 0,1-1 0,0 1 0,1-1 0,-1 0 0,1 0 0,-1 0 0,1 0 0,0-1 0,0 0 0,1 0 0,-1 0 0,10 1 0,0 1 0,0-1 0,0-1 0,0 0 0,0-1 0,0-1 0,0-1 0,1 0 0,-1 0 0,0-2 0,25-4 0,-31 3 0,1 1 0,-1-1 0,0-1 0,0 2 0,0-3 0,0 1 0,-1-2 0,1 1 0,-2-1 0,1 0 0,0 0 0,-1-1 0,0 0 0,-1 0 0,1-1 0,-2 0 0,10-15 0,32-85 0,-47 108 0,0 0 0,0 0 0,0 0 0,0-1 0,0 1 0,0 0 0,0 0 0,0 0 0,0 0 0,0 0 0,0 0 0,0-1 0,0 1 0,0 0 0,0 0 0,0 0 0,1 0 0,-1 0 0,0 0 0,0 0 0,0-1 0,0 1 0,0 0 0,0 0 0,0 0 0,0 0 0,1 0 0,-1 0 0,0 0 0,0 0 0,0 0 0,0 0 0,0 0 0,0 0 0,1 0 0,-1 0 0,0 0 0,0 0 0,0 0 0,0 0 0,0 0 0,1 0 0,-1 0 0,0 0 0,0 0 0,0 0 0,0 0 0,0 0 0,0 0 0,1 0 0,-1 0 0,0 0 0,0 0 0,0 0 0,0 1 0,4 10 0,-2 15 0,-2-13 0,1-1 0,0 1 0,1-1 0,0 0 0,5 13 0,-7-21 0,1-1 0,0 0 0,1 0 0,-1 0 0,0 0 0,1 0 0,0-1 0,0 1 0,-1 0 0,2-1 0,-1 1 0,0-1 0,0 0 0,1 0 0,-1 0 0,1 0 0,0 0 0,0 0 0,-1-1 0,1 1 0,0-1 0,0 0 0,0 0 0,1 0 0,2 1 0,-2-3 0,-1 1 0,1 0 0,-1-1 0,1 0 0,-1 1 0,1-1 0,-1-1 0,0 1 0,0 0 0,1-1 0,-1 0 0,0 0 0,0 0 0,-1 0 0,1 0 0,0 0 0,-1-1 0,1 1 0,-1-1 0,4-5 0,6-9 0,0-1 0,12-25 0,-13 22 0,1-1 0,20-34 0,-29 51 0,1 1 0,-1 0 0,0 0 0,1 1 0,0-1 0,0 0 0,0 1 0,1-1 0,5-3 0,-7 6 0,-1 1 0,1-1 0,-1 1 0,0 0 0,1 0 0,-1 0 0,1 0 0,-1 0 0,0 1 0,1-1 0,-1 1 0,0-1 0,1 1 0,-1 0 0,0 0 0,0 0 0,0 0 0,0 0 0,0 2 0,0-2 0,0 1 0,0-1 0,2 3 0,17 9 0,-1-5 0,1 0 0,-1-1 0,1-1 0,1-1 0,-1-1 0,29 1 0,-2-2 0,87-7 0,-79-1 60,86-20 0,-121 20-246,0-1 1,0-1-1,-1 0 0,0-3 1,0 1-1,-1-2 1,19-13-1,1-10-6640</inkml:trace>
  <inkml:trace contextRef="#ctx0" brushRef="#br0" timeOffset="10591.43">5821 10745 24575,'0'-8'0,"0"0"0,0-1 0,-1 1 0,-1 0 0,1 1 0,-1 0 0,-6-17 0,7 22 0,0 0 0,0 0 0,0 0 0,-1 0 0,1 0 0,-1 0 0,1 1 0,-1-1 0,1 0 0,-1 1 0,0 0 0,0-1 0,0 1 0,0 0 0,0 0 0,0 0 0,0 0 0,0 0 0,0 0 0,0 1 0,-1-1 0,1 1 0,0 0 0,0-1 0,-1 1 0,1 0 0,0 0 0,-1 0 0,1 1 0,0-1 0,0 1 0,-1-1 0,-1 2 0,-1 0 0,-1 0 0,1 1 0,0 0 0,0 0 0,0 0 0,0 0 0,1 1 0,-1 0 0,1 0 0,0 0 0,0 1 0,0 0 0,1 0 0,0 0 0,-1 0 0,2-1 0,-1 1 0,-2 8 0,0 0 0,0 0 0,1 1 0,0-1 0,1 1 0,0 0 0,0 24 0,2-34 0,1 1 0,0 0 0,0 0 0,1 0 0,0 0 0,0 0 0,0 0 0,0 0 0,1 0 0,-1-1 0,1 1 0,0-1 0,1 1 0,-1-1 0,1 0 0,0 0 0,0 0 0,0 0 0,1 0 0,-1-1 0,1 1 0,0-1 0,0 0 0,0 1 0,0-2 0,0 1 0,1-1 0,-1 0 0,1 0 0,0 0 0,-1-2 0,1 1 0,0 0 0,0 0 0,9 0 0,3-1 0,0-2 0,0 0 0,-1 1 0,0-3 0,1 0 0,-1-1 0,0-1 0,-1-1 0,0 1 0,0-2 0,23-15 0,-24 14 0,0-1 0,-1-1 0,0 0 0,0-1 0,-1 0 0,-1 0 0,0-3 0,-1 2 0,0-2 0,-1 1 0,9-22 0,-16 32 0,0-1 0,0 0 0,0 1 0,-1-1 0,0 1 0,0-1 0,0 0 0,-1-9 0,-1 19 0,-5 29 0,7-29 0,0 0 0,1 0 0,-1 0 0,1 0 0,1 0 0,-1 0 0,0 0 0,1 0 0,0-1 0,0 0 0,1 1 0,-1-1 0,1 0 0,0-1 0,0 1 0,0-1 0,0 1 0,1-1 0,-1-1 0,10 5 0,-9-4 0,1-1 0,0 2 0,-1-2 0,1-1 0,0 1 0,0-1 0,0 0 0,0 0 0,0-1 0,1 0 0,-1 0 0,0 0 0,0-1 0,0 0 0,0 0 0,0 0 0,0-1 0,7-4 0,1-2 0,0 0 0,-1-1 0,14-12 0,-6 4 0,-20 16 0,0 0 0,0 0 0,0 0 0,0 0 0,0 1 0,0-1 0,1 0 0,-1 1 0,0-1 0,0 1 0,0 0 0,1-1 0,-1 1 0,0 0 0,1 0 0,-1-1 0,0 1 0,1 0 0,-1 0 0,0 1 0,1-1 0,-1 0 0,0 0 0,1 1 0,-1-1 0,0 0 0,0 1 0,0 0 0,1-1 0,-1 1 0,0 0 0,0-1 0,0 1 0,0 0 0,0 0 0,0 0 0,0 0 0,0 0 0,0 0 0,-1 0 0,1 0 0,0 0 0,0 2 0,0-2 0,0 1 0,0-1 0,0 1 0,0-1 0,0 0 0,0 1 0,1-1 0,-1 0 0,0 0 0,1 0 0,-1 0 0,1 0 0,-1 0 0,1-1 0,-1 1 0,1 0 0,0-1 0,-1 1 0,1-1 0,0 0 0,-1 1 0,1-1 0,0 0 0,0 0 0,-1 0 0,1 0 0,0 0 0,0-1 0,2 0 0,4-3 0,-1 0 0,0-1 0,0 0 0,0-1 0,0 1 0,-1-1 0,0-1 0,-1 1 0,1-1 0,-1 0 0,7-11 0,17-22 0,-26 36 0,0 0 0,1 1 0,0-1 0,0 1 0,0 0 0,0-1 0,6-2 0,-8 5 0,0 1 0,0-1 0,1 0 0,-1 1 0,0-1 0,1 1 0,-1 0 0,1-1 0,-1 1 0,0 1 0,1-1 0,-1 0 0,1 0 0,-1 1 0,0 0 0,1-1 0,3 3 0,43 18 0,-30-12 0,1 0 0,-1-1 0,1-1 0,1 0 0,-1-2 0,1-1 0,32 2 0,-47-7 0,0 0 0,1 1 0,-1-1 0,0-1 0,0 0 0,0 0 0,0-1 0,0 1 0,0-1 0,-1-1 0,1 0 0,-1 0 0,0 0 0,0 0 0,0 0 0,-1-1 0,0 1 0,1-1 0,3-6 0,-2 1 0,1 1 0,-1-1 0,-1-1 0,0 1 0,0-1 0,-1 1 0,0-1 0,-1-1 0,3-19 0,-5 29 0,-1-1 0,0 1 0,0-1 0,0 1 0,0-1 0,0 1 0,0-1 0,-1 1 0,1-1 0,-1 1 0,0-1 0,0 1 0,0 0 0,0-1 0,0 1 0,0 0 0,0 0 0,-1 0 0,1 0 0,-4-3 0,4 4 0,-1 0 0,0 0 0,1 0 0,-1 1 0,0-1 0,0 0 0,1 1 0,-1-1 0,0 1 0,0 0 0,0 0 0,1 0 0,-1 0 0,0 0 0,0 0 0,0 0 0,0 0 0,0 1 0,1-1 0,-1 1 0,0 0 0,0-1 0,1 1 0,-1 0 0,0 0 0,1 0 0,-1 0 0,-1 1 0,-6 5 0,1 0 0,-1 0 0,1 1 0,1 0 0,0 0 0,0 0 0,0 1 0,1 1 0,0-1 0,1 2 0,0-1 0,0-1 0,1 1 0,1 0 0,0 1 0,0 0 0,-2 18 0,5-27 0,0 1 0,0-1 0,0 1 0,0-1 0,1 1 0,-1-1 0,1 0 0,-1 1 0,1-1 0,0 0 0,0 1 0,0-1 0,0 0 0,1 0 0,-1 0 0,0 1 0,1-1 0,0 0 0,-1 0 0,1 0 0,0-1 0,0 1 0,0-1 0,0 1 0,0-1 0,0 0 0,0-1 0,1 1 0,-1 0 0,0 0 0,1 0 0,-1-1 0,0 1 0,1-1 0,-1 1 0,1-1 0,-1 0 0,4 0 0,2-1 0,0 1 0,-1-1 0,1 0 0,0-1 0,0 1 0,-1-1 0,1-1 0,-1 0 0,0 0 0,12-8 0,33-33 0,-19 14 0,-32 29 0,-1 1 0,0 0 0,1-1 0,-1 1 0,1 0 0,-1-1 0,0 1 0,1 0 0,-1 0 0,1 0 0,-1-1 0,1 1 0,-1 0 0,1 0 0,-1 0 0,1 0 0,-1 0 0,1 0 0,-1 0 0,1 0 0,-1 0 0,1 0 0,-1 0 0,1 0 0,-1 0 0,1 0 0,-1 0 0,1 0 0,-1 1 0,1-1 0,-1 0 0,1 0 0,-1 1 0,1-1 0,-1 0 0,0 1 0,1-1 0,-1 0 0,1 1 0,-1-1 0,0 1 0,0-1 0,1 1 0,-1-1 0,0 0 0,0 1 0,1-1 0,-1 1 0,0-1 0,0 1 0,0-1 0,0 1 0,0-1 0,0 1 0,0-1 0,0 2 0,4 38 0,-4-35 0,-1 458 0,-2-223 0,2-183 0,-10 444 0,11-493 0,-1 17 0,0 0 0,-2 0 0,0 0 0,-2 0 0,-15 45 0,19-66 0,0-3 0,-1 2 0,1 0 0,0-1 0,-1 0 0,0 1 0,0-1 0,1 0 0,-1 0 0,-1 0 0,1 0 0,-3 2 0,4-3 0,0-1 0,0 1 0,-1-1 0,1 1 0,0-1 0,0 0 0,0 1 0,-1-1 0,1 0 0,0 0 0,-1 0 0,1 0 0,0 0 0,0 0 0,-1-1 0,1 1 0,0 0 0,0-1 0,-1 1 0,0-1 0,-2-2 0,-1 0 0,1 0 0,0 0 0,0 0 0,1-1 0,-1 0 0,1 0 0,0 1 0,0-2 0,0 1 0,0-1 0,-2-5 0,-24-54 0,3-2 0,-30-118 0,43 139 0,3 0 0,1-1 0,3 2 0,-1-65 0,7 87 0,1-1 0,1 1 0,1 0 0,1 0 0,1 0 0,1 1 0,1-1 0,1 1 0,1 1 0,0 0 0,14-20 0,30-31 54,-38 51-409,0 0 0,-1 0 1,14-27-1,-15 17-6471</inkml:trace>
  <inkml:trace contextRef="#ctx0" brushRef="#br0" timeOffset="10731.17">6181 10449 24575,'0'-8'0,"4"0"0,8-10 0,9 1 0,8 3 0,0 3-8191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4:03.8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8192,'18'0'5089,"-1"1"-1,33 7 1,9 9-1243,-3 10-3500,-37-16-1031,-1 1 0,0 1 0,26 25 0,14 25 1989,-31-28-656,42 73 0,-41-55-2576,-2 3-1,22 71 0,59 292-10779,-86-320 12088,34 255 396,-27 5 260,-23-277-52,8 153 16,-21 273 0,-4-370 0,-6-1 0,-5-1 0,-56 180 0,-117 282 0,100-319 0,36-114 0,-38 180 0,73-224 0,5 1 0,5 1 0,2 144 0,15-199 0,3-1 0,24 115 0,-17-134 0,1-1 0,3 0 0,2-2 0,34 64 0,-41-88 128,1-2 1,1 1-1,1-1 1,18 18-1,-25-30 423,-1-1 0,1 0-1,0 0 1,1 0 0,-1-1-1,1 0 1,0 0 0,1-1 0,-1 0-1,1-1 1,-1 0 0,1 0 0,13 2-1,-17-5-39,0 0-1,0 0 0,0 0 1,1 0-1,-1-1 0,0 0 0,0 0 1,0 0-1,0 0 0,0-1 1,-1 0-1,9-4 0,-4 1-149,-1-1 1,-1 0-1,1 0 0,-1 0 0,0-1 0,8-10 0,1-4-260,-1-1 1,-1-1-1,-1 0 1,11-25 0,-12 15-102,-1 0 0,-1 0 0,-2-1 0,-2-1 0,-1 1 0,-1-1 0,-2-69 0,-2 96 0,-1 0 0,0 0 0,0 0 0,0 0 0,-1 0 0,0 0 0,-7-14 0,9 20 0,-1 1 0,0 0 0,0-1 0,0 1 0,0 0 0,0 0 0,0-1 0,0 1 0,0 0 0,0 0 0,0 0 0,-1 0 0,1 0 0,0 1 0,-1-1 0,1 0 0,-1 1 0,-2-2 0,2 2 0,0 0 0,0 0 0,-1 1 0,1-1 0,0 0 0,0 1 0,0-1 0,0 1 0,0 0 0,0 0 0,0 0 0,0 0 0,0 0 0,1 0 0,-1 0 0,0 1 0,0-1 0,-1 2 0,-5 6 0,-1 0 0,1 0 0,1 1 0,0 0 0,0 0 0,1 1 0,1 0 0,-1 0 0,2 0 0,-1 0 0,2 1 0,0 0 0,-3 15 0,-1 20 0,3 0 0,0 50 0,4-83 0,0-13-25,-2 362-1433,26 3 465,-9-272-2458,42 141 1,49 89-4044,-46-146 6550,103 419 719,-143-492 229,-5 0 1,-5 1-1,-5 193 1,-7-268-5,-1 0 0,-1 0 0,-2-1 0,-1 1 0,-2-1 0,-1-1 0,-1 0 0,-23 44 0,25-58 0,0 0 0,-1-1 0,-1 0 0,-1 0 0,0-1 0,0-1 0,-1 0 0,-1-1 0,0 0 0,0-1 0,-1 0 0,-1-2 0,1 0 0,-1 0 0,-1-1 0,-24 6 0,24-9 0,-1-1 0,1 0 0,-1-1 0,1-1 0,-1-1 0,0 0 0,1-1 0,-1-1 0,1-1 0,-1-1 0,1 0 0,0-1 0,1-1 0,-1 0 0,1-1 0,0-1 0,-21-14 0,7 1 0,2-1 0,0-1 0,2-1 0,1-1 0,1-2 0,1 0 0,-31-48 0,-14-35 0</inkml:trace>
  <inkml:trace contextRef="#ctx0" brushRef="#br0" timeOffset="1961.25">1651 2689 8192,'-2'166'14900,"-4"1"-10048,-8 31-7640,-18 93-12646,27-266 14035,5-25 1395,0 0-1,0-1 0,0 1 1,0 0-1,0 0 0,0 0 1,0 0-1,0 0 0,0 0 1,0 0-1,0 0 0,0-1 1,0 1-1,0 0 0,0 0 1,0 0-1,-1 0 0,1 0 1,0 0-1,0 0 0,0 0 1,0 0-1,0 0 0,0 0 1,0-1-1,0 1 1,0 0-1,0 0 0,0 0 1,0 0-1,0 0 0,-1 0 1,1 0-1,0 0 0,0 0 1,0 0-1,0 0 0,0 0 1,0 0-1,0 0 0,0 0 1,0 0-1,-1 0 0,1 0 1,0 0-1,0 0 0,0 0 1,0 0-1,0 0 0,0 0 1,0 0-1,-1 0 0,0-46 121,20-602-116,-18 626 0,1-35 0,-2 10 0,3 0 0,1-1 0,2 2 0,16-58 0,-22 102 60,1-1 0,-1 1 0,1-1 0,0 1 0,0-1-1,0 1 1,0 0 0,0-1 0,0 1 0,1 0 0,-1 0 0,1 0 0,0 0 0,-1 0 0,1 0 0,0 1 0,0-1 0,0 1 0,0-1 0,0 1 0,4-2 0,-5 3 26,0 0 0,1 0 0,-1 0 0,0 0 0,0 0 0,0 0 0,0 0 0,0 1 0,1-1 0,-1 0 0,0 1 0,0-1 0,0 1 0,0 0 0,0-1 0,0 1 1,1 1-1,20 25 991,8 31 2665,24 61 0,-21-43 279,46 117-2905,25 101-9781,-70-195 7394,-15-45-5359</inkml:trace>
  <inkml:trace contextRef="#ctx0" brushRef="#br0" timeOffset="2112.66">1630 3324 8192,'7'0'11991,"14"0"-11991,20-11 6031,26-14-6031,22-18-3356,11-8 3356,-1 5-5484,-10 2 5484,-20 9 0</inkml:trace>
  <inkml:trace contextRef="#ctx0" brushRef="#br0" timeOffset="2952.68">2329 3303 8192,'6'8'16921,"4"-18"-15820,-5-4-1101,0-1 0,-1 0 0,-1 0 0,0 0 0,-1 0 0,-1 0 0,-1-30 0,1 15 0,1-323-5415,-18 180 1556,-17 6-3359,30 156 6679,-16-49-462,18 57 1001,0 1 1,0 0-1,0 0 1,0-1-1,0 1 1,0 0-1,-1 0 1,1 0 0,-1 0-1,1 1 1,-1-1-1,0 0 1,0 1-1,0-1 1,0 1-1,0 0 1,0-1-1,-4-1 1,4 3-1,1 0 0,0 1 0,-1-1 0,1 0 0,0 0 0,-1 1 0,1-1 0,0 1 0,0-1 0,-1 1 0,1 0 0,0 0 0,0-1 0,0 1 0,0 0 0,0 0 0,0 0 0,0 0 0,0 0 0,0 0 0,0 0 0,1 0 0,-1 1 0,0-1 0,1 0 0,-1 0 0,1 1 0,-1-1 0,1 3 0,-14 47 0,13-48 0,-7 46 0,3 1 0,1 0 0,3 0 0,2 0 0,10 69 0,-3-60 0,4-1 0,2-1 0,2 0 0,31 70 0,-39-107 0,2-1 0,0-1 0,21 31 0,-28-45 0,0 0 0,0-1 0,0 1 0,1 0 0,-1-1 0,1 0 0,0 0 0,-1 0 0,1 0 0,1-1 0,-1 1 0,0-1 0,1 0 0,-1 0 0,1-1 0,0 1 0,-1-1 0,1 0 0,0-1 0,0 1 0,8-1 0,-9-1 27,0 0 0,0 0 0,0-1 0,0 1 1,0-1-1,0 0 0,-1 0 0,1-1 0,-1 1 0,1-1 0,-1 0 1,0 0-1,0 0 0,0 0 0,0 0 0,-1-1 0,1 1 0,-1-1 1,0 0-1,0 0 0,0 0 0,0 0 0,-1 0 0,2-5 1,1-7 516,0 0 1,0 0-1,-2 0 0,0 0 1,0-19-1,-2 12 1358,-1 0 0,-6-30 0,7 47-1319,-2 0 0,1 0 0,0 0 0,-1 0 0,0 0 0,-1 0 0,1 1 1,-1-1-1,0 1 0,0 0 0,-1 0 0,0 0 0,-6-7 0,9 11-577,1 1 0,0 0-1,-1-1 1,1 1 0,-1-1-1,1 1 1,-1 0 0,1-1 0,-1 1-1,0 0 1,1 0 0,-1 0 0,1-1-1,-1 1 1,1 0 0,-1 0 0,0 0-1,1 0 1,-1 0 0,1 0 0,-1 0-1,0 0 1,1 0 0,-1 0 0,1 1-1,-1-1 1,0 0 0,1 0 0,-1 0-1,1 1 1,-1-1 0,1 0 0,-1 1-1,-1 1-2,1-1 0,0 1 0,0-1-1,0 1 1,0 0 0,0-1 0,0 1-1,1 0 1,-1 0 0,0 3 0,-5 46-21,6-44 18,0-1 0,1 1 0,0 0 0,1-1 0,-1 1 0,1-1 0,0 1 0,1-1 0,-1 0 0,1 0 0,1 0 0,-1 0 0,6 6 0,-6-9 0,0 1 0,0-1 0,1 0 0,-1-1 0,1 1 0,-1 0 0,1-1 0,0 0 0,0 0 0,0 0 0,0-1 0,1 1 0,-1-1 0,0 0 0,1 0 0,-1 0 0,0-1 0,1 0 0,-1 1 0,1-2 0,6 0 0,-4 0-1,1-1 0,-1 0 0,1 0 1,-1-1-1,0 0 0,0-1 0,0 1 1,0-1-1,-1 0 0,0-1 0,0 0 1,0 0-1,0 0 0,-1-1 0,9-10 1,0-3-616,-1-1 0,0 0 0,18-41 0,20-58-2683,-12-3-7415,-37 114 10061,5-25-222,-7 33 875,0-1 0,1 0 0,-1 0 0,0 0-1,0 0 1,0 1 0,0-1 0,0 0 0,0 0-1,0 0 1,0 1 0,-1-1 0,1 0 0,0 0 0,0 0-1,-1 1 1,1-1 0,0 0 0,-1 0 0,1 1-1,-1-1 1,1 0 0,-1 1 0,1-1 0,-1 1-1,0-1 1,1 1 0,-2-2 0,1 2 0,1 0 0,-1 0 0,0 0 0,0 1 0,0-1 0,0 0 0,1 0 0,-1 0 0,0 0 0,0 1 0,1-1 0,-1 0 0,0 1 0,0-1 0,1 1 0,-1-1 0,0 1 0,1-1 0,-1 1 0,0-1 0,1 1 0,-1 0 0,1-1 0,-1 1 0,1 0 0,0-1 0,-1 1 0,1 0 0,0 0 0,-1-1 0,1 1 0,0 0 0,0 0 0,0 0 0,-1-1 0,1 1 0,0 0 0,0 0 0,1 1 0,-2 3 0,0 0 0,1-1 0,0 1 0,0 0 0,0 0 0,2 6 0,0-5-2,0-1 0,0 0-1,1 1 1,-1-1 0,1 0 0,1-1 0,-1 1 0,1 0 0,0-1 0,0 0 0,0 0 0,0 0-1,7 4 1,9 6 115,42 21-1,-37-22 252,-3-2 549,-2 1 0,0 0 0,0 2 0,-1 0 0,26 27 0,-41-37-621,0-1 0,-1 1 0,0 0 0,0 0 0,0 1 0,0-1 0,-1 1 0,1-1 0,-1 1 0,-1 0 0,1 0 0,0 0 0,-1 0 0,0 0 0,-1 0 0,1 0 0,-1 0 0,0 0 0,0 0 0,0 0 0,-1 1 0,1-1 0,-1 0 1,-1 0-1,1 0 0,-1 0 0,0-1 0,0 1 0,0 0 0,-1-1 0,1 1 0,-4 3 0,-5 6 64,-1 0 0,0-1 0,0-1 0,-1 0 0,-1-1-1,-26 17 1,19-14-384,-2-2-1,1-1 0,-2 0 0,-26 7 1,43-16 28,1 0 0,0 0 0,-1-1 0,0 0 0,1 0 0,-1-1 0,1 0 0,-1 0 0,0-1 0,1 1 0,-8-3 0,10 2 0,0-1 0,0 1 0,0-1 0,1 0 0,-1 0 0,0 0 0,1-1 0,0 1 0,-1-1 0,1 0 0,0 0 0,0 0 0,1 0 0,-1-1 0,1 1 0,-1-1 0,-2-6 0,-14-40 0</inkml:trace>
  <inkml:trace contextRef="#ctx0" brushRef="#br0" timeOffset="4061.59">3387 2710 8192,'-12'15'10206,"3"2"-4321,-3 24-2292,4 43-6596,7-69 4344,0 6-1341,1 0 0,1 0 0,0 0 0,7 29 0,-7-46 0,0 1 0,1 0 0,-1-1 0,1 1 0,0-1 0,0 0 0,1 0 0,-1 0 0,1 0 0,0 0 0,4 4 0,-5-6 0,0 0 0,1-1 0,-1 0 0,0 1 0,0-1 0,1 0 0,-1 0 0,1 0 0,-1 0 0,1-1 0,0 1 0,-1-1 0,1 1 0,-1-1 0,1 0 0,0 0 0,-1 0 0,1-1 0,0 1 0,-1-1 0,6-1 0,-5 1-3,0 0 1,0 0 0,0 0 0,0-1 0,0 0-1,0 1 1,0-1 0,0 0 0,-1 0 0,1-1 0,-1 1-1,1 0 1,-1-1 0,3-4 0,-1 1 13,-1 0 1,0 0 0,0-1-1,0 1 1,-1-1 0,3-12-1,-2 0-132,-1 0-1,-1-1 1,0 0-1,-3-23 0,-1 14-890,-1-1-1,-2 1 1,-9-30 0,11 44 553,-2 0 0,0 0 0,0 1 0,-1 0 0,-1 0 1,-1 1-1,-15-19 0,22 29 677,-1 0 1,0 0-1,0 0 1,1 0-1,-2 1 1,1 0 0,0-1-1,0 1 1,-1 0-1,1 1 1,-1-1-1,0 1 1,1-1-1,-1 1 1,0 0-1,0 1 1,0-1-1,0 1 1,-6-1 0,6 2-57,1 0 1,-1 0-1,1 0 1,-1 0-1,0 0 1,1 1 0,0 0-1,-1-1 1,1 1-1,0 1 1,0-1-1,0 0 1,0 1-1,1-1 1,-1 1 0,1 0-1,-1 0 1,1 0-1,0 0 1,-2 5-1,-1 1-598,0 1 0,1 0 0,0-1-1,1 1 1,0 1 0,0-1-1,1 0 1,1 1 0,0-1-1,0 1 1,1 13 0,1-16-172,0 0 1,0 0-1,0-1 1,1 1-1,1 0 1,-1-1-1,1 1 1,0-1 0,1 0-1,0 0 1,0 0-1,0 0 1,1-1-1,0 0 1,10 10-1,-4-6 420,0-1 0,1-1 0,0 0-1,0-1 1,1 0 0,0-1 0,0 0 0,1-1-1,0-1 1,0 0 0,0-1 0,0 0-1,26 1 1,-30-4 191,-1 0 0,0 0-1,1-1 1,-1 0 0,0-1 0,0 0 0,0 0-1,0-1 1,0 0 0,0-1 0,-1 1-1,1-2 1,-1 1 0,0-1 0,-1-1-1,1 0 1,-1 0 0,0 0 0,0 0-1,-1-1 1,0-1 0,7-10 0,-4 2-3,-1 1 0,-1-2 0,0 1 0,-2-1 0,0 0 0,0 0 0,-2-1 0,0 1 0,-1-1 0,-1 1 0,0-1 0,-3-26 0,-4-6 0,-1 0 0,-3 0 0,-18-53 0,1 13 0,-75-164 0,71 202 0,31 52 0,-1-1 0,1 0 0,-1 0 0,1 0 0,-1 1 0,1-1 0,-1 0 0,1 1 0,-1-1 0,0 1 0,1-1 0,-1 1 0,0-1 0,0 1 0,0-1 0,1 1 0,-1 0 0,0-1 0,0 1 0,0 0 0,0 0 0,0-1 0,1 1 0,-1 0 0,0 0 0,0 0 0,0 0 0,-1 1 0,1 0 0,0 0 0,0 0 0,0 0 0,0 0 0,0 0 0,0 0 0,0 0 0,1 1 0,-1-1 0,0 0 0,1 1 0,-1-1 0,1 0 0,0 1 0,-1-1 0,1 3 0,-3 21 0,2 0 0,0 0 0,1 1 0,2-1 0,7 38 0,-4-24 0,42 224 0,-39-230 0,2-1 0,1 0 0,2-1 0,1 0 0,34 54 0,-43-77 85,0-1 0,1 1 0,1-1 1,-1 0-1,1-1 0,0 0 0,0 0 0,1 0 1,0-1-1,11 6 0,-16-9 162,1-1 0,-1 0 0,1 0 1,-1 0-1,1 0 0,-1-1 0,1 1 0,-1-1 1,1 0-1,0 0 0,-1 0 0,1-1 0,-1 1 0,1-1 1,-1 0-1,1 0 0,-1 0 0,1 0 0,-1-1 0,0 0 1,0 1-1,1-1 0,-1 0 0,0 0 0,-1-1 1,1 1-1,0 0 0,-1-1 0,3-3 0,3-4 580,0 0 0,-1-1 0,0 0 0,-1 0 0,0-1 0,5-14 0,22-80 2946,-13 37-3665,-20 68-108,0 0 0,0 0 0,0 0 0,1 1 0,-1-1 0,0 0 0,1 0 0,-1 0 0,1 0 0,-1 0 0,1 0 0,-1 1 0,1-1 0,-1 0 0,1 0 0,0 1 0,-1-1 0,2 0 0,3 14 0,-4 39 0,-1-47 0,0 6 0,0 0 0,1 0 0,0 0 0,1 0 0,0 0 0,1 0 0,0 0 0,0-1 0,8 15 0,-8-20 0,0 0 0,0-1 0,0 1 0,1-1 0,-1 0 0,1 0 0,0 0 0,0 0 0,1-1 0,-1 0 0,1 0 0,0 0 0,-1 0 0,1-1 0,0 0 0,1 0 0,-1 0 0,0-1 0,0 1 0,1-1 0,6 0 0,-6 0 0,0-1 0,0 0 0,0 0 0,0 0 0,0-1 0,0 0 0,0 0 0,0-1 0,0 1 0,0-1 0,-1-1 0,1 1 0,-1-1 0,7-3 0,-5 1 0,-1-1 0,1 1 0,-1-1 0,0 0 0,-1-1 0,1 1 0,-1-1 0,-1 0 0,6-9 0,-1-5 0,0 0 0,-1-1 0,-1 0 0,-2 0 0,0 0 0,3-36 0,-5 28 0,-1-43 0,-5 56 0,3 17 0,0 0 0,0-1 0,0 1 0,0 0 0,0 0 0,0 0 0,0 0 0,0 0 0,0 0 0,0 0 0,0 0 0,0 0 0,0 0 0,-1-1 0,1 1 0,0 0 0,0 0 0,0 0 0,0 0 0,0 0 0,0 0 0,0 0 0,0 0 0,0 0 0,-1 0 0,1 0 0,0 0 0,0 0 0,0 0 0,0 0 0,0 0 0,0 0 0,0 0 0,-1 0 0,1 0 0,0 0 0,0 0 0,0 0 0,0 0 0,0 0 0,0 0 0,0 0 0,0 0 0,0 0 0,-1 1 0,1-1 0,0 0 0,0 0 0,0 0 0,0 0 0,0 0 0,0 0 0,0 0 0,0 0 0,0 0 0,0 0 0,0 1 0,-9 25 0,7-13 0,0 1 0,1-1 0,1 1 0,0 0 0,0-1 0,2 1 0,0 0 0,0-1 0,7 19 0,-8-28 0,0 0 0,1 1 0,0-1 0,0 0 0,1 0 0,-1 0 0,1-1 0,-1 1 0,1 0 0,0-1 0,1 0 0,-1 0 0,0 0 0,1 0 0,0 0 0,0-1 0,0 0 0,0 0 0,0 0 0,0 0 0,0 0 0,1-1 0,-1 0 0,1 0 0,-1 0 0,1 0 0,-1-1 0,1 0 0,-1 0 0,1 0 0,-1 0 0,6-2 0,-4 1-38,1-1 0,0 1 1,-1-2-1,1 1 0,-1-1 1,0 0-1,0 0 0,0 0 1,0-1-1,-1 0 0,1 0 1,-1-1-1,0 1 0,0-1 1,-1 0-1,0-1 0,1 1 1,-2-1-1,1 0 1,-1 0-1,0 0 0,0 0 1,4-12-1,0-5-1119,0 0 0,-2-1 0,-1 1 0,0-1 1,0-35-1,-3 35-412,-1 0 1,-1 0 0,0 0-1,-2 1 1,-11-44 0,14 65 1682,-1 0 0,1 0 0,-1 0 0,0 0 1,1 0-1,-1 1 0,0-1 0,0 0 0,0 0 1,0 1-1,0-1 0,-1 1 0,1-1 1,0 1-1,-3-2 0,4 3-140,-1 0 0,0 0 1,1 0-1,-1 0 0,1 0 0,-1 1 1,1-1-1,-1 0 0,1 0 0,-1 1 1,0-1-1,1 0 0,0 0 0,-1 1 0,1-1 1,-1 1-1,1-1 0,-1 0 0,1 1 1,0-1-1,-1 1 0,1-1 0,0 1 1,-1-1-1,1 1 0,0-1 0,0 1 1,0 0-1,-1-1 0,1 1 0,0 0 1,-3 10-265,-1 0 0,2 0 0,0 1 0,-1 11 1,-2 48 115,7 122 0,0-166 178,1 0-1,2 0 0,0 0 1,2-1-1,1 1 0,1-2 0,21 42 1,-25-57-4,1-1 0,0 0 0,1 0 0,0 0 0,1-1 0,0 0 0,14 11 0,9 0 0</inkml:trace>
  <inkml:trace contextRef="#ctx0" brushRef="#br0" timeOffset="4385.09">4466 2329 8192,'10'10'5473,"-10"-9"-5130,1-1-1,0 1 0,0-1 0,0 0 0,0 0 0,-1 1 0,1-1 0,0 0 0,0 0 1,1 0-1,25 3 7217,-3-3-7457,-1-1 0,0 0 0,1-2 0,-1-1 0,39-11 1,-48 11-42,1-2 0,-1 1 1,-1-1-1,1-1 0,-1-1 0,0 0 1,0 0-1,-1-2 0,20-19 1,-25 21-62,-1 0 0,0-1 0,-1 0 0,0 0 0,0-1 0,-1 1 0,-1-1 0,1 0 0,2-15 0,-4 16 0,0 1 0,-1-1 0,0 1 0,-1-1 0,0 1 0,0-1 0,-1 0 0,0 1 0,0-1 0,-1 1 0,-5-15 0,7 22 0,-1-1 0,0 0 0,0 0 0,1 1 0,-1-1 0,0 1 0,-1-1 0,1 1 0,0-1 0,0 1 0,-1 0 0,1 0 0,-1-1 0,1 1 0,-1 0 0,1 0 0,-1 1 0,0-1 0,1 0 0,-1 0 0,0 1 0,0-1 0,0 1 0,1 0 0,-1-1 0,0 1 0,-3 0 0,2 1 0,-1-1 0,1 1 0,0 0 0,0 0 0,0 0 0,0 1 0,0-1 0,0 1 0,0-1 0,0 1 0,0 0 0,1 0 0,-1 0 0,1 1 0,-4 3 0,-2 5-39,0 0 0,1 0-1,0 1 1,1 0 0,0 0 0,1 0 0,0 1 0,-4 19 0,1 6-1183,-6 67-1,12-80 659,1 1-1,1 0 1,1 0 0,1 0-1,2-1 1,10 40 0,-11-54 51,1 1 0,0-1-1,1 0 1,0 0 0,1-1 0,0 0 0,0 0 0,1 0 0,1 0 0,0-1 0,0-1-1,1 1 1,0-1 0,0-1 0,1 1 0,14 7 0,-11-9 345,0 0-1,0-1 1,1 0 0,0-1 0,0-1-1,0 0 1,0-1 0,0-1 0,1 0-1,-1 0 1,0-2 0,1 0 0,19-4-1,-12 1 145,0-2-1,-1 0 1,0-2-1,0 0 1,-1-1-1,1-1 0,31-23 1,29-29 24</inkml:trace>
  <inkml:trace contextRef="#ctx0" brushRef="#br0" timeOffset="5880.67">1418 4615 8192,'0'-5'1108,"0"1"1,-1-1 0,1 0 0,-1 0-1,0 1 1,-1-1 0,1 1-1,-1-1 1,0 1 0,0 0 0,-4-7-1,2 6-621,0 0-1,1 1 0,-1-1 1,-1 1-1,1 0 0,-1 1 1,1-1-1,-11-5 0,10 6-467,-1 0 0,0 1 0,-1-1 0,1 1 0,0 0 0,-1 1 0,1 0 0,-1 0 0,1 0-1,-1 1 1,1-1 0,-1 2 0,0-1 0,1 1 0,-1 0 0,1 0 0,-11 4 0,7 0-30,0 0 0,0 1 0,1 0-1,-1 0 1,2 1 0,-1 0 0,1 1 0,0 0 0,0 0 0,1 1 0,0 0 0,1 0 0,0 1 0,-7 13 0,-4 14-759,2-1 0,-19 69 0,19-51 153,3 0 1,-11 111-1,21-133-215,2-1 1,1 1 0,1 0-1,2-1 1,1 1-1,16 52 1,-16-70 230,0 0-1,1-1 1,0 0 0,1 0 0,1 0 0,0-1 0,1 0-1,0-1 1,1 0 0,0 0 0,22 17 0,-21-20 568,1 0 0,0-1-1,0-1 1,1 0 0,-1-1 0,1 0 0,0-1 0,1 0 0,-1-1 0,1-1 0,-1 0 0,1-1-1,0 0 1,0-1 0,-1-1 0,1 0 0,0-1 0,-1 0 0,22-7 0,-14 2 13,1-1 0,-1-1 0,-1-1 0,1-1 0,-2 0 0,1-2 0,-2 0 0,0-1 0,0-1 0,-2-1 0,22-25 0,-21 20 324,-1-1-1,-1 0 1,-1-1 0,-1-1-1,-1 0 1,-1 0-1,-1-1 1,-1-1 0,7-37-1,-13 47-455,0 0-1,-2 1 0,1-26 1,-2 36 285,-1 0 0,1 0 0,-1 0 0,0 0 0,0 0 0,0 0 0,-1 0 0,0 0 0,0 1 0,0-1 0,0 1 0,-1-1 0,0 1 0,-4-6 0,6 9 37,0 0 0,0 0 0,0 0 0,0 0 0,0 1 0,0-1 0,-1 0 0,1 0 0,0 1 0,0-1 0,0 1 0,-1-1 0,1 1 0,0 0 0,-1-1 0,1 1 0,0 0-1,-1 0 1,1 0 0,0 0 0,-1 0 0,1 0 0,0 0 0,-1 0 0,1 1 0,0-1 0,-1 1 0,1-1 0,0 1 0,0-1 0,-1 1 0,1-1 0,0 1 0,0 0 0,0 0 0,0 0 0,0 0 0,-1 1 0,-3 2 565,1 1 0,0 1-1,0-1 1,0 0-1,0 1 1,-4 9 0,1 2-502,0 0 1,1 0-1,1 0 0,1 1 1,0-1-1,1 1 1,1 0-1,0 30 0,2-40-234,1 0 0,-1 0-1,1 0 1,0-1-1,1 1 1,0 0 0,0-1-1,1 1 1,0-1 0,0 1-1,1-1 1,0 0-1,0-1 1,0 1 0,1-1-1,0 0 1,1 0 0,-1 0-1,1-1 1,0 0-1,0 0 1,8 4 0,-5-4-12,1 0 0,-1-1 0,1 0 0,0-1 0,1 0 0,-1 0 1,0-1-1,1-1 0,0 0 0,-1 0 0,17-2 0,-12 0 61,-1-1 0,1-1 0,-1-1 0,1 0 0,-1-1 0,-1 0 0,24-12 0,-19 6-300,1-1 0,-1 0 0,-1-2-1,-1 1 1,0-2 0,0 0 0,-2-1 0,0-1 0,0 0-1,-2-1 1,15-27 0,-15 19-687,-1-1-1,-1 1 1,-2-2 0,0 1 0,-2-1 0,4-42-1,-8 52 512,-1 1 0,-1-1 0,-1 0-1,0 1 1,-1-1 0,-1 1 0,-1 0 0,0-1-1,-1 2 1,-1-1 0,-12-24 0,14 35 267,1 0 0,-1 1-1,0-1 1,-1 1 0,1 0 0,-1 0 0,0 1 0,0-1 0,0 1-1,-1 0 1,0 0 0,-8-4 0,12 8 138,-1-1 0,1 0-1,0 0 1,-1 1 0,1-1 0,0 1 0,-1 0-1,1 0 1,-1 0 0,1 0 0,0 0 0,-1 0 0,1 1-1,0-1 1,-1 1 0,1 0 0,0 0 0,-1-1-1,1 1 1,0 1 0,0-1 0,0 0 0,0 0-1,0 1 1,0-1 0,1 1 0,-1 0 0,0 0 0,1-1-1,-1 1 1,1 0 0,0 0 0,-1 0 0,1 0-1,0 1 1,-1 3 0,-3 6 397,1-1 0,0 1 0,1 0-1,0 0 1,0 0 0,2 1 0,0-1 0,0 1-1,1-1 1,0 0 0,1 1 0,1-1 0,0 0 0,1 1-1,0-1 1,0-1 0,1 1 0,9 16 0,-8-18-542,0 0 0,1-1 1,0 1-1,1-1 1,0 0-1,1-1 0,0 0 1,0 0-1,1 0 1,0-1-1,0-1 1,18 11-1,-14-11-177,0 0-1,0-1 1,0 0-1,1-1 1,0-1 0,0 0-1,0-1 1,0 0-1,0-1 1,0-1 0,1 0-1,-1-1 1,17-3-1,-14 0 282,1-1-1,-1 0 0,0-1 0,-1-2 1,1 1-1,-1-2 0,-1 0 0,0-1 1,27-22-1,-22 14 65,-1 0 0,-1-1 0,-1-1 0,-1-1 0,-1-1 0,-1 0 0,0-1 0,-2 0 0,10-26 0,-14 30 0,-2 0 0,0 0 0,-1 0 0,-1-1 0,-1 1 0,0-1 0,-2 0 0,0 0 0,-1 0 0,-1 0 0,-1 0 0,-7-28 0,8 42 0,-1 0 0,0-1 0,-1 1 0,1 0 0,-1 0 0,-1 0 0,1 1 0,-1-1 0,-4-4 0,7 8 0,0 1 0,0 0 0,-1 0 0,1 0 0,0 0 0,-1 0 0,1 0 0,-1 1 0,1-1 0,-1 0 0,1 1 0,-1-1 0,1 1 0,-1-1 0,0 1 0,1 0 0,-1 0 0,0 0 0,1 0 0,-1 0 0,0 0 0,1 0 0,-1 0 0,0 1 0,1-1 0,-1 1 0,1-1 0,-1 1 0,1 0 0,-1-1 0,1 1 0,-1 0 0,1 0 0,0 0 0,-1 0 0,1 0 0,0 0 0,0 1 0,-1 1 0,-5 4 0,0 1 0,1 0 0,1 0 0,-1 0 0,1 1 0,1 0 0,0 0 0,0 0 0,0 1 0,1-1 0,-1 12 0,-3 11 0,3 0 0,-2 38 0,5-47 0,1 0 0,1 0 0,1 0 0,1-1 0,1 1 0,1-1 0,13 40 0,-13-50 0,1 0 0,0-1 0,0 0 0,1 0 0,0 0 0,1-1 0,0 0 0,1-1 0,0 1 0,1-2 0,0 1 0,0-2 0,0 1 0,1-1 0,19 9 0,-12-9 0,0 0 0,0-2 0,1 0 0,0-1 0,0 0 0,0-2 0,0 0 0,0-1 0,1-2 0,-1 1 0,0-2 0,28-6 0,-6-2 0,-1-1 0,0-2 0,0-2 0,59-32 0,19-19 0</inkml:trace>
  <inkml:trace contextRef="#ctx0" brushRef="#br0" timeOffset="6726.5">1651 6520 8192,'0'4'11332,"0"4"-11332,0 16 0,0 18 6690,0 19-6690,0 26 0,7 25 0,3 20-2971,-1 6 2971,-2-8-5849,-1-13 5849,-3-25-7957,-1-34 6712,-2-27 1245</inkml:trace>
  <inkml:trace contextRef="#ctx0" brushRef="#br0" timeOffset="7052.53">1355 6584 8192,'1'-9'0,"0"1"0,0 1 0,1-1 0,1 0 0,-1 0 0,1 1 0,8-15 0,-2 2 0,0 0 0,0 1 0,2 1 0,0 0 0,1 0 0,0 1 0,2 0 0,0 1 0,32-28 0,-36 36 0,0 1 0,1-1 0,0 2 0,0 0 0,0 0 0,1 1 0,0 0 0,0 1 0,0 0 0,0 1 0,1 1 0,0 0 0,-1 0 0,1 2 0,0-1 0,17 3 0,-22-1 0,-1 0 0,0 1 0,0 0 0,0 0 0,0 1 0,0-1 0,0 2 0,-1-1 0,1 1 0,-1 0 0,0 0 0,0 1 0,0 0 0,-1 0 0,0 0 0,0 0 0,0 1 0,0 0 0,-1 0 0,0 0 0,-1 1 0,1-1 0,-1 1 0,0 0 0,2 9 0,0 0 0,-1 0 0,-1 0 0,-1 0 0,0 1 0,-1-1 0,-1 1 0,0-1 0,-1 1 0,-1-1 0,-6 26 0,4-25-38,-2 1 0,0-1 1,-1-1-1,-1 1 1,-1-1-1,-19 28 0,10-22 855,0 0 0,-1-1 0,-37 30-1,47-44 2088,5-4-1508,-1 1-1,1-1 0,1 1 1,-1-1-1,0 1 1,-3 5-1,7-8-1267,0-1 0,-1 1 0,1 0 0,0-1 0,0 1 0,-1 0-1,1-1 1,0 1 0,0 0 0,0-1 0,0 1 0,0 0 0,0-1 0,0 1 0,0 0 0,0 0 0,0-1 0,0 1 0,0 0 0,1 0 0,0 0-151,0 1 0,0-1 1,0 0-1,0 0 0,0 0 1,0 0-1,0 0 0,0-1 1,0 1-1,0 0 0,0 0 1,1-1-1,-1 1 0,2 0 1,47 21-1356,-1 3 0,-1 1 0,-2 3 1,65 52-1,3 21-7301,-83-70 7435</inkml:trace>
  <inkml:trace contextRef="#ctx0" brushRef="#br0" timeOffset="8722.67">2138 6965 8192,'16'23'12389,"5"-6"-6443,6-5-4534,-23-11-1667,1 0 1,0 0-1,-1 0 1,1-1-1,0 0 1,-1 0-1,1 0 1,0 0-1,-1-1 1,1 0 0,0 0-1,6-2 1,11-9 1837,-13 5-1583,-1 0 0,0-1 0,0 0 0,-1 0 0,0-1 0,-1 0 0,0 0 0,0 0 0,-1-1 0,0 0 0,6-19 0,-8 21 0,0 0 0,-1-1 0,0 1 0,0-1 0,-1 0 0,0 1 0,-1-1 0,1 0 0,-2 1 0,1-1 0,-1 0 0,-1 1 0,0-1 0,0 1 0,-5-12 0,7 18 0,-1 0 0,0 0 0,1 0 1,-1 0-1,0 1 0,0-1 1,0 0-1,0 1 0,-1-1 0,1 1 1,0-1-1,-1 1 0,1 0 0,-1-1 1,1 1-1,-1 0 0,1 0 1,-1 0-1,0 0 0,0 0 0,1 1 1,-1-1-1,0 1 0,0-1 0,0 1 1,0-1-1,0 1 0,0 0 1,0 0-1,0 0 0,0 0 0,0 0 1,0 1-1,0-1 0,1 0 0,-1 1 1,0 0-1,0-1 0,0 1 1,0 0-1,1 0 0,-1 0 0,0 0 1,1 0-1,-3 3 0,-4 2-351,1 0 0,0 1 0,0 0 0,1 0-1,0 1 1,1 0 0,-10 16 0,11-17-123,1-1-1,0 1 1,1 0 0,-1 0-1,1 0 1,1 0 0,-1 0-1,1 0 1,0 0 0,1 1-1,0-1 1,0 0 0,0 0-1,1 1 1,0-1-1,1 0 1,0 0 0,0 0-1,0 0 1,1 0 0,0-1-1,0 1 1,0-1 0,1 1-1,0-1 1,5 5 0,-3-5 252,0 0 0,0-1 1,0 0-1,0 0 1,1 0-1,0-1 0,0 0 1,0 0-1,11 3 1,-10-4 213,-1-1 0,0 0 0,1 0 0,-1-1 0,1 0 0,-1 0 1,1-1-1,-1 0 0,1 0 0,0-1 0,-1 0 0,1 0 1,-1-1-1,1 0 0,-1 0 0,0 0 0,0-1 0,0-1 1,0 1-1,-1-1 0,1 0 0,-1 0 0,0-1 0,0 0 1,0 0-1,-1 0 0,5-7 0,5-6 10,-2 0 0,0-1 1,-1-1-1,0 0 0,-2 0 0,-1-1 1,13-42-1,-12 26-2,-1 1 0,-3-1 0,-1-1 0,-1 1 0,-2-1 0,-5-61 0,-3 46 0,-3-1 0,-1 1 0,-35-102 0,14 77 0,28 71 0,-1-1 0,0 1 0,-1 0 0,0 0 0,0 0 0,-11-12 0,16 19 0,-1-1 0,1 0 0,-1 1 0,1-1 0,-1 1 0,0-1 0,1 1 0,-1-1 0,1 1 0,-1-1 0,0 1 0,1 0 0,-1-1 0,0 1 0,0 0 0,1 0 0,-1-1 0,0 1 0,0 0 0,1 0 0,-1 0 0,0 0 0,0 0 0,0 0 0,1 0 0,-1 0 0,0 0 0,0 1 0,1-1 0,-1 0 0,0 0 0,0 1 0,1-1 0,-1 0 0,0 1 0,1-1 0,-1 1 0,1-1 0,-1 1 0,0-1 0,1 1 0,-1-1 0,1 1 0,-1 0 0,1-1 0,-1 2 0,-1 3 0,-1 0 0,1 0 0,0 0 0,1 0 0,-2 10 0,-2 15 0,1 0 0,2 0 0,1 0 0,3 41 0,25 127 0,-23-175 0,236 1088 0,-219-1024 0,-8-34 0,209 779 0,-205-774 0,3 1 0,47 92 0,-66-148 0,0-1 0,0 0 0,1 1 0,-1-1 0,1 0 0,-1 0 0,1 0 0,0 0 0,0 0 0,0 0 0,0 0 0,0-1 0,0 1 0,4 1 0,-6-3 0,1 0 0,-1 0 0,1 0 0,-1 0 0,1 0 0,-1 0 0,0 0 0,1 0 0,-1 0 0,1-1 0,-1 1 0,1 0 0,-1 0 0,1 0 0,-1-1 0,0 1 0,1 0 0,-1-1 0,0 1 0,1 0 0,-1-1 0,0 1 0,1 0 0,-1-1 0,1 0 0,7-22 0,-3-5 0,-1 0 0,-1 0 0,-1 0 0,-4-39 0,-21-120 0,-4 53 0,-5 1 0,-7 1 0,-5 2 0,-67-137 0,90 222-44,-2 1 0,-2 1 0,-31-39 0,45 67 242,-1 1 0,-1 0-1,0 0 1,0 2 0,-1 0-1,-1 0 1,0 1-1,-1 1 1,0 1 0,-32-14-1,9 11 5810,37 12-5674,0-1 0,-1 1-1,1 0 1,0 0 0,0-1 0,0 1-1,0 1 1,-1-1 0,1 0 0,0 1-1,0-1 1,0 1 0,0-1 0,-3 3 243,5-3-515,0 0 0,0 0 0,0 0 0,0 0 0,0 0 0,0 1-1,0-1 1,0 0 0,0 0 0,0 0 0,0 0 0,0 1 0,0-1 0,1 3 1279,-1-3-1279,1 0 0,-1 0 0,0 0 0,0 0-1,0 0 1,0 0 0,1 0 0,-1 0 0,0 0 0,0 0 0,0 0 0,0 0 0,1 0 0,-1 0 0,0 0-1,0 0 1,0 0 0,0 0 0,1 0 0,-1 0 0,0 0 0,0 0 0,0 0 0,0 0 0,1 0 0,6 1 60,1-1 1,0 0-1,-1 0 0,1 0 1,0-1-1,-1 0 1,1-1-1,10-2 1,61-26-210,-53 19 88,-1-2 0,0 0 0,-1-2 0,0-1 0,21-18 0,-33 24 0,-1 0 0,-1-1 0,1 0 0,-2-1 0,1 0 0,-2 0 0,0-1 0,0 0 0,-1-1 0,-1 1 0,5-16 0,-9 25 0,-1 0 0,0 0 0,-1 0 0,1 0 0,-1 0 0,1-1 0,-1 1 0,0 0 0,-1 0 0,1 0 0,-1 0 0,0-1 0,0 1 0,0 0 0,-2-4 0,2 6 0,0 1 0,0-1 0,-1 0 0,1 1 0,0-1 0,-1 1 0,1-1 0,-1 1 0,0 0 0,1 0 0,-1-1 0,0 1 0,0 0 0,0 1 0,0-1 0,0 0 0,0 1 0,0-1 0,0 1 0,0-1 0,0 1 0,0 0 0,0 0 0,0 0 0,0 0 0,0 0 0,0 0 0,0 1 0,0-1 0,-3 2 0,0-1-313,0 1 0,-1 0 0,2 0 0,-1 0 0,0 1 0,0-1 0,1 1 0,-1 0 0,1 1 0,0-1 0,0 1 0,0 0 0,1 0 0,-1 0 0,1 0 0,0 0 0,0 1 0,0 0 0,1-1 0,0 1 0,0 0 0,-3 10 0,3-9-120,1 0-1,0 0 1,0 0 0,1 0-1,-1 0 1,1 0-1,0 0 1,1 0-1,0 0 1,0 0-1,0 0 1,0 0-1,1 0 1,0 0 0,1-1-1,-1 1 1,1-1-1,0 1 1,0-1-1,5 5 1,2 0 980,0 0 1,0 0-1,1-1 0,1-1 1,0 0-1,0-1 0,0 0 1,1-1-1,0 0 0,0-1 1,22 6-1,-14-6-340,0-1-1,36 3 1,-37-6-1251,0-1-1,35-5 1,-45 4 728,0-2 0,0 1 1,-1-1-1,1-1 1,-1 0-1,1 0 1,-1 0-1,0-2 0,-1 1 1,1-1-1,-1 0 1,0-1-1,-1 1 1,0-2-1,7-7 0,-5 4 215,-1-1 0,0 0 0,-1-1-1,0 0 1,-1 0 0,-1 0 0,0 0 0,0-1-1,-1 0 1,2-17 0,-4 17 160,-1 0 0,0-1 0,-1 1 0,0 0-1,-1 0 1,-1-1 0,0 1 0,-1 0 0,0 1 0,-8-19 0,7 23-45,0 0 1,0 0 0,-2 0-1,1 1 1,-1-1 0,0 1-1,0 1 1,-1-1-1,0 1 1,-1 0 0,1 1-1,-1 0 1,-1 0 0,1 0-1,-12-4 1,15 8 53,0 0 0,0 0 0,0 0 0,0 1 0,-1 0 0,1 0 0,0 0 1,-1 1-1,1 0 0,-1 0 0,1 0 0,0 1 0,-1 0 0,1 0 0,0 0 0,-9 4 0,11-4-36,1 0 0,0 0 0,0 0-1,-1 1 1,1-1 0,0 1 0,1 0 0,-1-1-1,0 1 1,0 0 0,1 0 0,-1 0 0,1 0-1,0 1 1,-1-1 0,1 0 0,0 0 0,0 1-1,0-1 1,1 1 0,-1-1 0,1 1 0,-1-1-1,1 1 1,0-1 0,0 1 0,0-1 0,0 1-1,0-1 1,1 1 0,-1-1 0,1 1 0,0-1-1,0 1 1,-1-1 0,2 0 0,1 4 0,-1-1-89,1 1 0,0-1 1,0 0-1,1 0 0,0-1 1,0 1-1,0-1 0,0 0 1,0 0-1,1 0 0,0 0 1,0-1-1,0 0 0,0 0 0,1 0 1,-1-1-1,1 1 0,-1-1 1,1-1-1,0 1 0,11 1 1,0-1 334,0-1 1,0 0-1,0-1 0,-1-1 1,1-1-1,25-5 1,-40 7 430,0-1 1,0 1 0,-1 0-1,1 0 1,0 0 0,0 0 0,0 0-1,0 0 1,0 0 0,0 1-1,0-1 1,0 1 0,0-1-1,0 1 1,3 1 0,-3 0-387,0-1 1,-1 0 0,1 1 0,-1-1 0,1 1-1,-1 0 1,1-1 0,-1 1 0,0 0-1,0 0 1,0 0 0,1 3 0,1 7-684,0 0 0,-1 0 1,0-1-1,0 22 0,4 19 1054,-6-49-694,1 1 0,1 0 0,-1-1 0,0 1 0,1-1 0,0 1 0,0-1 0,0 1 0,0-1 0,0 0 0,1 0 0,-1 0 0,1-1 0,0 1 0,0-1 0,0 1 0,0-1 0,0 0 0,1 0 0,-1 0 0,0-1 0,1 1 0,0-1 0,-1 0 0,1 0 0,0 0 0,0 0 0,-1-1 0,1 1 0,0-1 0,0 0 0,0 0 0,0-1 0,-1 1 0,1-1 0,0 1 0,0-1 0,-1-1 0,1 1 0,-1 0 0,8-5 0,3-2-84,0-1 1,-1 0 0,1-1 0,-2-1 0,0 0-1,0-1 1,-1 0 0,0-1 0,-1 0 0,0-1-1,-2 0 1,12-22 0,-7 9 117,-1-1-1,-1-1 1,-2 0-1,-1-1 1,9-56-1,-16 77-158,-1 0-1,0 0 0,0 0 0,-1 0 0,-3-17 0,3 24 107,1 1 0,-1-1-1,1 0 1,-1 1-1,1-1 1,-1 1-1,0-1 1,0 1-1,0-1 1,0 1-1,0-1 1,0 1-1,-1 0 1,1 0-1,-3-2 1,3 2 81,0 1 1,0 0-1,-1-1 1,1 1-1,0 0 1,-1 0-1,1 0 1,0 0-1,-1 0 1,1 0-1,0 0 1,0 0-1,-1 1 0,1-1 1,0 0-1,-1 1 1,1-1-1,0 1 1,0-1-1,0 1 1,0 0-1,-1 0 1,1-1-1,-1 2 1,-4 3-249,1 1 0,-1-1 0,1 1 0,0 1 0,0-1 0,1 0-1,0 1 1,0 0 0,0 0 0,1 0 0,0 1 0,-3 13 0,-3 12 1254,-7 51 0,16-82-960,-3 16-6,1 0-1,1 1 0,1 0 1,0-1-1,6 37 1,-5-49-110,1-1 1,-1 0-1,1 1 1,0-1-1,1 0 1,-1 0-1,1 0 1,0 0 0,0 0-1,6 6 1,-6-9 9,0 1 0,0-1-1,0 1 1,0-1 0,1 0 0,-1 0 0,1-1 0,-1 1 0,1-1 0,-1 1 0,1-1 0,0 0 0,0-1 0,0 1 0,0-1 0,7 1 0,-6-1-167,0-1 1,0 1 0,0-1 0,1 0-1,-1 0 1,0-1 0,0 1 0,0-1-1,-1 0 1,1 0 0,0-1 0,-1 0-1,1 0 1,4-3 0,-2-1-471,0 0 1,0 0 0,-1 0 0,0-1-1,0 0 1,0 0 0,4-10-1,-1-2-559,0 0 0,-1 0 0,6-25 0,0-18 1509,-7 21 10237,-6 25-9104,0 24-1448,-1-1 0,1 0 0,0 0 0,1 0 0,-1 0 0,1 0 0,0 0 0,1 0 0,-1 0 0,1-1 0,1 1 0,5 7 0,1 1 0,0-1 0,1-1 0,22 20 0,-31-30 0,0 0 0,0 0 0,0-1 0,0 1 0,0-1 0,0 1 0,0-1 0,0 0 0,1 0 0,-1 0 0,0 0 0,1 0 0,-1-1 0,1 1 0,-1-1 0,1 1 0,-1-1 0,1 0 0,0 0 0,-1 0 0,1 0 0,-1-1 0,1 1 0,-1-1 0,1 1 0,-1-1 0,1 0 0,-1 0 0,0 0 0,0 0 0,1-1 0,-1 1 0,0 0 0,0-1 0,0 0 0,0 1 0,0-1 0,-1 0 0,1 0 0,-1 0 0,1 0 0,-1 0 0,1 0 0,-1-1 0,1-2 0,4-7-322,-1-1 0,0 1 1,-1-1-1,0 0 1,1-15-1,5-14-3354,6 2-6296,-16 39 9906,0 0 0,1 0-1,-1 1 1,1-1 0,-1 0 0,1 1-1,-1-1 1,1 0 0,0 1 0,-1-1 0,1 1-1,0-1 1,-1 1 0,1-1 0,0 1-1,0 0 1,-1-1 0,1 1 0,0 0 0,0 0-1,0-1 1,-1 1 0,1 0 0,0 0-1,0 0 1,0 0 0,0 0 0,0 0-1,-1 0 1,1 0 0,0 1 0,0-1 0,0 0-1,-1 0 1,1 1 0,0-1 0,0 1-1,-1-1 1,2 1 0,35 27 423,-17-11-509,-6-8 152,0-1 0,0 0 0,1-1 0,0-1 0,0 0 0,0-1 0,1-1 0,0 0 0,0-1 0,0-1 0,0 0 0,1-1 0,21-2 0,-16-1 0,1-2 0,-1 0 0,1-1 0,-1-2 0,-1 0 0,1-1 0,-1-1 0,37-23 0,11-13 0</inkml:trace>
  <inkml:trace contextRef="#ctx0" brushRef="#br0" timeOffset="10117.84">4657 6245 8192,'-6'-8'9044,"-6"7"-3957,-14 7-2218,21-2-2804,0 0 1,0 0 0,1 0-1,-1 0 1,1 1-1,0-1 1,0 1-1,0 0 1,1 1-1,-1-1 1,1 1-1,1-1 1,-1 1-1,1 0 1,0 0-1,-2 8 1,-2 13-106,1 0 1,-2 35 0,6-57 65,0 10-26,0 0 0,0 0 0,2 0 0,0 0 0,0 0 0,6 21 0,-6-31 0,1-1 0,0 1 0,-1-1 0,1 1 0,1-1 0,-1 0 0,1 0 0,-1 0 0,1 0 0,0 0 0,1-1 0,-1 1 0,1-1 0,-1 0 0,1 0 0,0 0 0,0 0 0,0-1 0,0 0 0,1 0 0,-1 0 0,1 0 0,8 2 0,-4-3 0,-1 0 0,1-1 0,-1 0 0,0 0 0,1-1 0,-1 0 0,1 0 0,-1-1 0,0 0 0,0 0 0,0-1 0,0 0 0,0-1 0,-1 0 0,1 0 0,-1 0 0,0-1 0,0 0 0,-1 0 0,8-9 0,1 0 0,-1 0 0,-1-2 0,0 0 0,-1 0 0,-1-1 0,-1 0 0,13-29 0,-12 18 0,-1 0 0,10-48 0,-16 59 0,-2 0 0,0 0 0,-1 0 0,0 0 0,-1 0 0,-3-17 0,-3 13 0,-2 16 0,7 6 0,0 0 0,-1 1 0,1-1 0,0 0 0,0 1 0,0-1 0,0 0 0,0 1 0,1-1 0,-1 1 0,0-1 0,1 1 0,-1 0 0,1-1 0,0 1 0,-1 0 0,1 2 0,-5 19 0,2 1 0,0 0 0,2 0 0,1 0 0,3 29 0,-2-42 0,0-1 0,1 1 0,0 0 0,1-1 0,0 1 0,1-1 0,0 0 0,0 0 0,1-1 0,0 1 0,1-1 0,0 0 0,1 0 0,8 8 0,-12-14-14,0 0 1,1-1 0,0 1-1,-1-1 1,1 1 0,0-1-1,0 0 1,0-1 0,1 1-1,-1-1 1,0 1 0,1-1-1,-1-1 1,1 1 0,-1-1 0,1 1-1,-1-1 1,1 0 0,-1-1-1,1 1 1,-1-1 0,0 0-1,1 0 1,-1 0 0,0-1-1,0 0 1,1 0 0,-1 0-1,-1 0 1,1 0 0,0-1-1,0 1 1,-1-1 0,0 0-1,1-1 1,-1 1 0,0 0 0,-1-1-1,1 1 1,-1-1 0,4-6-1,4-10-1672,-1-1-1,-1 0 1,11-40-1,-11 33-3671,13-32 0,-17 65 5358,-1 0 0,0 1 0,0 0 0,-1-1 0,0 1 0,2 10 0,-1-9 0,-1-2 212,0 0-1,0 0 1,0-1 0,1 1 0,-1-1 0,1 1 0,5 5 0,-7-9-61,0 0 0,0-1 1,-1 1-1,1 0 0,0-1 1,0 1-1,0 0 0,0-1 0,0 0 1,0 1-1,0-1 0,0 1 1,0-1-1,0 0 0,0 0 1,0 1-1,0-1 0,0 0 1,0 0-1,0 0 0,0 0 0,0 0 1,0-1-1,0 1 0,0 0 1,0 0-1,0-1 0,0 1 1,0 0-1,0-1 0,0 1 1,0-1-1,0 0 0,0 1 0,0-1 1,0 0-1,-1 1 0,1-1 1,0 0-1,0 0 0,-1 0 1,1 1-1,0-3 0,7-7 1358,-1-1 0,0 0 0,10-21 0,12-40-292,-20 46-1680,1 1 0,17-29 0,-26 52 609,0 0-1,0 0 0,0 0 1,0 0-1,0 1 1,0-1-1,1 0 0,-1 1 1,1-1-1,-1 1 1,1 0-1,-1-1 0,1 1 1,0 0-1,0 0 1,0 0-1,0 0 0,-1 0 1,4-1-1,-3 3-262,-1 0 0,1-1 0,-1 1-1,0 0 1,1-1 0,-1 1 0,0 0-1,0 0 1,0 0 0,0 0 0,0 0-1,0 0 1,0 1 0,0-1 0,0 0-1,0 0 1,-1 1 0,1-1 0,0 1-1,-1-1 1,1 0 0,-1 1 0,0-1-1,1 1 1,-1 1 0,2 4-1307,0-1 0,1 1 1,0-1-1,0 0 0,1 0 1,6 9-1,-7-11 1026,1 0 0,-1 0 1,1-1-1,0 1 0,0-1 1,0 0-1,0 0 0,7 3 1,-6-4 370,0 0 1,0-1-1,0 1 1,1-1-1,-1 0 0,0 0 1,0-1-1,1 1 1,-1-1-1,0-1 1,1 1-1,-1-1 1,0 0-1,0 0 0,1 0 1,-1-1-1,0 1 1,0-1-1,8-5 1,-3 1 26,0 0 0,0 0 0,-1-1 0,0-1 0,0 1 0,-1-2 0,0 1 0,0-1 0,-1 0 0,0 0 0,-1-1 0,0 0 0,0 0 0,-1-1 0,0 0 0,-1 1 0,0-2 0,-1 1 0,0 0 0,-1-1 0,-1 1 0,1-1 0,-2 1 0,1-1 0,-4-23 0,3 33 0,-1-1 0,1 0 0,-1 1 0,1-1 0,-1 1 0,0-1 0,0 1 0,0 0 0,-1-1 0,1 1 0,-1 0 0,1 0 0,-1 0 0,0 0 0,1 0 0,-1 0 0,0 0 0,0 0 0,0 1 0,-1-1 0,1 1 0,0 0 0,-1-1 0,1 1 0,-1 0 0,1 1 0,-1-1 0,1 0 0,-1 1 0,1-1 0,-1 1 0,0 0 0,1 0 0,-1 0 0,0 0 0,1 0 0,-1 1 0,-4 0 0,1 1 0,0-1 0,0 1 0,0 1 0,0-1 0,0 1 0,1 0 0,-1 0 0,1 0 0,0 1 0,0 0 0,0 0 0,0 0 0,1 1 0,0 0 0,-5 6 0,6-6 34,0 0 0,1 1 1,0 0-1,0-1 1,0 1-1,0 0 0,1 0 1,0 0-1,0 0 0,1 0 1,0 0-1,0 0 0,0 0 1,1 0-1,0 0 0,0 0 1,0 0-1,4 9 0,-3-11 253,-1-1-1,1 1 1,0-1-1,0 0 1,0 1-1,0-1 0,1 0 1,-1 0-1,1-1 1,0 1-1,0-1 0,0 1 1,3 1-1,-2-2 389,-1 0-1,0-1 0,1 0 0,0 1 0,-1-1 1,1-1-1,-1 1 0,1-1 0,0 1 1,0-1-1,-1 0 0,1 0 0,0 0 1,-1-1-1,6-1 0,-3 1-493,-1-1 0,0 0-1,0 0 1,-1-1 0,1 1-1,0-1 1,-1 0 0,0 0 0,1-1-1,-1 1 1,-1-1 0,1 0 0,0 0-1,-1 0 1,0-1 0,0 1 0,0-1-1,3-7 1,-2 4-767,-1 0 0,0-1 0,0 1-1,2-13 1,-2-6-4495,-5 2-3347,2 26 8384,0-1-1,0 0 1,0 0 0,0 0 0,0 0-1,0 0 1,0 1 0,-1-1-1,1 0 1,0 0 0,0 0-1,0 0 1,0 0 0,0 0-1,-1 0 1,1 1 0,0-1 0,0 0-1,0 0 1,0 0 0,-1 0-1,1 0 1,0 0 0,0 0-1,0 0 1,-1 0 0,1 0 0,0 0-1,0 0 1,0 0 0,0 0-1,-1 0 1,1 0 0,0 0-1,0-1 1,0 1 0,0 0-1,-1 0 1,1 0 0,0 0 0,0 0-1,0 0 1,0 0 0,0-1-1,-1 1 1,1 0 0,0 0-1,0 0 1,0 0 0,0 0-1,0-1 1,0 1 0,0 0 0,0 0-1,0 0 1,0 0 0,0-1-1,0 1 1,-1 0 0,-7 18 258,-12 55-214,3 1 0,4 1 0,3 0 0,-1 93 0,27 305 0,16-193 0,3 43 0,-35-310 0,1 0 0,-2 0 0,1 0 0,-2 0 0,0 0 0,-4 14 0,5-24 0,0 0 0,0 0 0,0 0 0,0 0 0,-1 0 0,1-1 0,-1 1 0,0 0 0,1-1 0,-1 1 0,0-1 0,-1 0 0,1 0 0,0 0 0,-1 0 0,1 0 0,-1 0 0,0-1 0,1 1 0,-1-1 0,0 0 0,0 0 0,0 0 0,0 0 0,0 0 0,0 0 0,0-1 0,0 0 0,-6 0 0,0 0-3,0-1 1,0 0-1,1-1 1,-1 0-1,0-1 1,1 0 0,-1 0-1,1 0 1,0-1-1,0-1 1,0 1-1,0-1 1,1-1-1,0 1 1,0-1 0,1 0-1,-1-1 1,1 0-1,-7-10 1,4 4 57,0-1 0,1 0 1,0-1-1,1 0 0,1 0 1,1-1-1,0 1 0,1-1 0,0 0 1,-1-18-1,3-2 203,1 0 1,2 0-1,2 0 1,1 0-1,9-36 1,56-179-2821,-24 98 3014,-29 94-452,-3 0 0,-2-1 0,-3 0 0,0-65 0,-8 96 0,-2 0 0,0 0 0,-2 1 0,-1 0 0,-2-1 0,0 2 0,-2-1 0,-1 1 0,-1 0 0,-26-44 0,16 40 0,-30-35 0,-23-17 0</inkml:trace>
  <inkml:trace contextRef="#ctx0" brushRef="#br0" timeOffset="10227.41">5017 5610 8192,'-33'0'0,"-35"-11"0,-21-3 0,1 0 0,16-4 3356,20-7-3356,22 2-3356,16 3 3356</inkml:trace>
  <inkml:trace contextRef="#ctx0" brushRef="#br0" timeOffset="39282.9">1926 8870 8192,'0'-18'16699,"0"28"-13911,0 21-5742,0-20 4443,-2 170-1515,-7 93-9043,5-150 6089,0-1 3297,1 40 8437,3-152-6012,0-19-2195,1-28-832,16-425-3544,-13 264-695,-4 148 4141,-1 22-914,1 0-1,1 0 0,1 0 0,1 1 0,2-1 0,12-39 1,-16 62 1288,1 0 1,0 0 0,0 0 0,0 0 0,0 0 0,1 0 0,-1 1 0,1-1 0,0 1 0,0 0 0,0 0 0,1 0 0,-1 0 0,1 1 0,0-1 0,-1 1-1,1 0 1,0 0 0,0 0 0,0 1 0,1 0 0,-1-1 0,0 1 0,1 1 0,-1-1 0,0 0 0,1 1 0,4 0 0,11 2 366,-1 0 1,0 1-1,0 1 0,0 1 1,18 8-1,-21-8 320,63 22-118,-8 0-560</inkml:trace>
  <inkml:trace contextRef="#ctx0" brushRef="#br0" timeOffset="39455.74">2011 9378 8192,'-21'18'18022,"51"-31"-18022,34-12 0,35-10-3356,18-9 3356,4 3-5996,-11 4 5996,-25 9 0</inkml:trace>
  <inkml:trace contextRef="#ctx0" brushRef="#br0" timeOffset="40081.82">2667 8700 8192,'-7'3'15075,"1"9"-11400,2-1-4403,-4 23 559,2 2 0,-4 63-1,8 74-2652,2-138 2206,0-11-214,1 0 0,1 0 0,1 0 1,7 30-1,-8-48 1062,0 0 0,0 0-1,1 0 1,0-1 0,0 1 0,0-1 0,0 0 0,1 0 0,7 8-1,-8-10 56,0-1-1,0 1 0,0-1 0,1 0 0,-1 0 1,1 0-1,0 0 0,0-1 0,0 1 0,-1-1 1,1 0-1,0 0 0,0 0 0,1-1 1,-1 1-1,5-1 0,-1-1-390,0 0 0,1-1 0,-1 0 1,0 0-1,0-1 0,0 0 0,-1 0 0,1 0 0,-1-1 1,0-1-1,0 1 0,0-1 0,0 0 0,-1-1 0,0 1 1,6-8-1,3-4-1032,0-1 1,-1 0 0,0-1-1,16-33 1,-20 32-584,-1 1 0,11-34 0,-14 15 7861,-8 29-3979,-4 11-586,-5 15 1137,4 2-3040,0 1 0,2-1 0,0 1 0,-3 28 0,-2 88-3713,9-105 2696,-1-6 1076,-1 102 1528,4-114-509,0-1 0,1 1 1,0-1-1,1 0 0,0 1 0,1-1 0,9 19 1,-11-27-696,0 0 0,0 0 0,1-1 0,0 1 0,-1-1 0,1 0 1,1 1-1,-1-1 0,0-1 0,1 1 0,-1 0 0,1-1 0,0 0 0,0 0 0,6 3 1,22 2-58</inkml:trace>
  <inkml:trace contextRef="#ctx0" brushRef="#br0" timeOffset="40751.75">3535 9272 8192,'-3'14'18470,"3"-14"-18480,0 0-1,-1 0 1,1 0 0,0 1-1,0-1 1,0 0-1,-1 0 1,1 0-1,0 0 1,0 0 0,-1 1-1,1-1 1,0 0-1,0 0 1,0 0-1,-1 0 1,1 0 0,0 0-1,0 0 1,-1 0-1,1 0 1,0 0-1,0 0 1,-1 0-1,1 0 1,0 0 0,0 0-1,-1 0 1,1 0-1,0 0 1,0-1-1,-1 1 1,1 0 0,0 0-1,0 0 1,-1 0-1,1 0 1,0-1-1,0 1 1,0 0-1,0 0 1,-1-1 0,1 1-28,-21 11-165,5-8-3007,56-12-10417,-30 11 13533,1 2 0,-1-1 0,0 2 0,0-1 0,-1 1 1,1 1-1,-1 0 0,0 0 0,0 0 0,12 14 0,-9-9 105,-1 1 0,0 1 0,-1 0 1,0 1-1,-1-1 0,-1 2 0,8 16 0,-10-17-11,-2 0 0,1-1 0,-2 1 0,0 0 0,-1 1 0,0-1 0,-1 1 0,-2 25 0,-1-19 0,-1 0 0,-1 0 0,0 0 0,-2-1 0,-13 30 0,4-18 0,-1 0 0,-2-1 0,-1 0 0,-2-2 0,0-1 0,-47 47 0,45-53 0,-27 19 0,-14 3 0</inkml:trace>
  <inkml:trace contextRef="#ctx0" brushRef="#br0" timeOffset="42059.9">4149 7981 8192,'-5'13'19380,"-1"9"-22057,4-13 3996,-7 129-1319,17 276 0,1-297 0,-7-102 0,0-24 0,-1-27 0,0-457-976,-1 23-5974,0 452 6710,5-84-2415,-4 92 1725,1 0 0,0 0 1,1 1-1,4-11 0,-7 18 858,1 1-1,-1-1 1,1 0 0,0 1-1,0-1 1,0 1 0,0-1 0,0 1-1,0-1 1,0 1 0,0 0-1,1-1 1,-1 1 0,0 0 0,1 0-1,-1 0 1,1 0 0,-1 0-1,1 0 1,0 0 0,-1 1 0,1-1-1,3 0 1,-3 1 24,1 0 0,0 0 0,-1 1 0,1-1 0,-1 1 0,1 0 0,-1 0 0,0 0 1,1 0-1,-1 0 0,0 0 0,0 0 0,0 1 0,4 2 0,5 6 28,-1 0 1,0 1-1,-1 0 0,14 20 1,46 90 2815,-42-66-2236</inkml:trace>
  <inkml:trace contextRef="#ctx0" brushRef="#br0" timeOffset="42230.91">4149 8235 8192,'11'-4'2971,"17"-1"2877,20-14-5848,22-4 0,14-12-3356,3 0 3356,-9 5-5463,-18 8 5463</inkml:trace>
  <inkml:trace contextRef="#ctx0" brushRef="#br0" timeOffset="42714.83">4636 8129 8192,'13'21'18339,"-6"-5"-17137,2 9-3719,-3-5 3515,4 13-998,-9-27 0,0 0 0,1 0 0,-1-1 0,1 1 0,1 0 0,-1-1 0,1 0 0,4 7 0,-6-11 0,-1-1 0,1 1 0,-1-1 0,0 0 0,1 1 0,-1-1 0,1 0 0,-1 1 0,1-1 0,-1 0 0,1 0 0,-1 1 0,1-1 0,-1 0 0,1 0 0,-1 0 0,1 0 0,-1 0 0,1 0 0,0 0 0,-1 0 0,1 0 0,-1 0 0,1 0 0,-1 0 0,1 0 0,-1 0 0,1 0 0,0-1 0,0 1 0,15-15 0,9-25 0,-11 6 0,-1-1 0,11-47 0,-18 56 0,1 0 0,1 0 0,2 0 0,1 1 0,24-42 0,-34 66-1,-1 0 0,1 0 0,-1 0 0,1 0 0,0 0 0,0 0 0,0 0 0,-1 1 0,1-1 0,0 0 0,0 1 1,0-1-1,0 0 0,0 1 0,0-1 0,0 1 0,0 0 0,0-1 0,2 1 0,-2 0 3,-1 0 0,1 0 0,0 0 0,0 1 0,-1-1 0,1 0 0,0 0 0,0 1 0,-1-1 0,1 1 0,-1-1 0,1 1 0,0-1 0,-1 1 0,1-1 0,-1 1 1,1-1-1,-1 1 0,1 0 0,0 1 0,2 4-97,0 0 1,0 1-1,-1 0 1,3 11-1,-4-15-16,14 58-1912,-8-27 802,1-1-1,2-1 0,15 34 1,-21-58 1305,0 1-1,0-1 1,1-1 0,0 1 0,1-1 0,-1 0 0,1 0 0,1 0 0,-1-1 0,1 0 0,1 0 0,-1-1-1,1 0 1,-1 0 0,1-1 0,12 5 0,-14-7-361,1 0-1,-1-1 1,1 1-1,-1-2 1,1 1-1,0-1 1,-1 0 0,1 0-1,-1-1 1,1 1-1,-1-2 1,1 1-1,-1-1 1,1 0-1,-1 0 1,7-4-1,0 0-231,-2-1 0,1 0 0,-1-1 0,0 0 0,-1-1 0,17-17 0,10-17 509</inkml:trace>
  <inkml:trace contextRef="#ctx0" brushRef="#br0" timeOffset="43350.58">4149 9483 8192,'3'0'2971,"13"-14"2877,17-12-5848,25-9 7957,17 1-7957,7 0 1246,-4 5-1246,-15 8 0</inkml:trace>
  <inkml:trace contextRef="#ctx0" brushRef="#br0" timeOffset="43600.54">4276 9166 8192,'7'-7'2971,"10"-3"2877,18 13 2109,-22 21-7957,-5 23 1246,-3 24-1246,-3 18 0,-1 5 0,6-2 0,2-11 0,3-18 0,6-20 0,8-18 0,3-20 0,-3-10 0</inkml:trace>
  <inkml:trace contextRef="#ctx0" brushRef="#br0" timeOffset="43988.59">4826 9081 8192,'1'16'12389,"1"5"-6443,1 8-4534,11 43-4720,-8-47 4891,71 248-1583,-74-262 0,9 23 0,-12-32 0,1-1 0,-1 1 0,1-1 0,-1 0 0,1 1 0,0-1 0,0 0 0,0 1 0,0-1 0,0 0 0,0 0 0,0 0 0,0 0 0,0 0 0,2 1 0,-3-2 0,1-1 0,-1 1 0,1 0 0,-1-1 0,0 1 0,1 0 0,-1-1 0,1 1 0,-1-1 0,0 1 0,1-1 0,-1 1 0,0 0 0,0-1 0,1 0 0,-1 1 0,0-1 0,0 1 0,0-1 0,0 1 0,0-1 0,0 1 0,1-1 0,-1 1 0,-1-1 0,1 0 0,0 1 0,0-1 0,0 1 0,0-2 0,0-33-339,0 0 0,-3 0 0,-10-57 1,0 7-2103,8 40 313,-22-215-1170,20 103 1394,10 55-2538,-1 79 3954,0 0 1,1 0 0,13-43 0,-14 61 466,-1 0 0,1 0 0,0 0 0,0 1 0,0-1 0,1 1 0,-1-1 0,1 1-1,0 0 1,0 0 0,1 0 0,-1 0 0,1 1 0,0 0 0,0-1 0,0 1 0,0 1 0,1-1 0,-1 1 0,1-1 0,-1 1 0,1 0 0,7-1 0,-6 3 21,-1 0 0,0 0 0,0 1 0,0 0 0,0 0 0,0 0 0,0 0 0,-1 1 0,1 0 0,0 0 0,-1 0 0,1 1 0,-1-1 0,0 1 0,1 0 0,-2 1 0,1-1 0,0 1 0,-1-1 0,1 1 0,4 8 0,13 18 0</inkml:trace>
  <inkml:trace contextRef="#ctx0" brushRef="#br0" timeOffset="44145.54">4805 9060 8192,'0'7'0,"7"3"3356,14-1 2127,9-5-5483,15-4 7957,21-16-7957,18-15-2971,5-4 2971,-6-2-5849,-16-3 5849,-21 7 0</inkml:trace>
  <inkml:trace contextRef="#ctx0" brushRef="#br0" timeOffset="45039.66">5546 8425 8192,'-7'6'18034,"4"1"-16659,-2 5-3636,2-3 3135,1-5-874,-19 40 0,2 0 0,1 2 0,-22 94 0,39-136 0,1 0 0,-1 0 0,1 0 0,0 1 0,0-1 0,0 0 0,0 0 0,1 1 0,0-1 0,-1 0 0,2 0 0,-1 0 0,0 0 0,1 0 0,0 0 0,0-1 0,0 1 0,0 0 0,0-1 0,1 0 0,0 1 0,6 4 0,-3-3 0,1 0 0,0-1 0,0-1 0,0 1 0,1-1 0,-1 0 0,1 0 0,-1-1 0,1 0 0,0-1 0,9 1 0,-8-1 0,0 0 0,-1-1 0,1 0 0,0 0 0,0-1 0,0 0 0,-1-1 0,1 0 0,-1 0 0,1-1 0,-1 0 0,9-4 0,-6 0 0,-1 0 0,1 0 0,-1-1 0,0 0 0,-1-1 0,1 0 0,9-14 0,-6 13 0,-7 17 0,-3 26 0,-3-29 0,0 58-2530,2 84 4281,8-74-3177,9-2-5813,-9-49 5351</inkml:trace>
  <inkml:trace contextRef="#ctx0" brushRef="#br0" timeOffset="46753.35">3683 10669 8192,'0'-23'16552,"-2"23"-16319,-1 0-96,-1-1 1,1 2-1,-1-1 1,1 0-1,-1 1 0,1-1 1,-1 1-1,-5 2 1,3 0-138,1 0 0,-1 1 0,1 0 0,-1 0 0,1 0 0,1 0 0,-1 1 0,1 0 0,-1 0 0,1 0 0,1 0 0,-1 1 0,1-1 0,-5 11 0,7-12 0,-1-1 0,1 1 0,0 0 0,0 0 0,0 0 0,0 0 0,1 0 0,-1 0 0,1 0 0,0 0 0,0 0 0,1 0 0,-1 0 0,1 0 0,0 0 0,0 0 0,1 0 0,-1 0 0,1 0 0,-1-1 0,1 1 0,0-1 0,1 1 0,4 5 0,7 4 0,1-1 0,0-1 0,1 0 0,0-1 0,1-1 0,0 0 0,25 8 0,-20-8 0,-1 1 0,0 1 0,0 1 0,25 19 0,-43-29 0,0 0 0,0 0 0,0 1 0,0-1 0,-1 1 0,0 0 0,1 0 0,-1-1 0,0 2 0,0-1 0,0 0 0,-1 0 0,1 1 0,-1-1 0,0 0 0,0 1 0,0 0 0,0-1 0,0 1 0,-1 0 0,0-1 0,0 1 0,0 0 0,0-1 0,0 1 0,-1 0 0,0-1 0,1 1 0,-1-1 0,-1 1 0,1-1 0,0 1 0,-1-1 0,0 0 0,0 0 0,0 0 0,0 0 0,-4 5 0,-8 7-310,0-1 0,0 0 0,-1-1 0,-1-1 0,0 0 0,-1-1 0,-32 16 1,-133 48-5057,156-65 4325,-1 0 1,-1-2-1,0-1 1,0-1-1,0-1 1,-1-2-1,-34 1 1,13-10 1040</inkml:trace>
  <inkml:trace contextRef="#ctx0" brushRef="#br0" timeOffset="47063.02">3577 10542 8192,'8'0'0,"1"-8"3356,24 5 10099,-18 21-13455,3 18 1211,-2 22-1211,-3 25 0,3 21 0,0 4 0,-4-7 0,3-12 0,4-22 0,-3-33 0,-3-23 0</inkml:trace>
  <inkml:trace contextRef="#ctx0" brushRef="#br0" timeOffset="47326.75">3958 10161 8192,'4'0'0,"8"0"2971,9 0-2971,12 0 5848,12 0-5848,8 10 7350,6 23-7350,0 19-3356,-2 19 3356,-11 19 0,-14 12-5996,-12 18 5996,-27 17-6817,-31-1 6817,-16-12 0,-9-20 0,-5-28 0,9-26 0</inkml:trace>
  <inkml:trace contextRef="#ctx0" brushRef="#br0" timeOffset="47665.74">2900 10478 8192,'-7'0'3356,"-6"4"-3356,-8 11 5996,-8 26-5996,1 23-2971,6 23 2971,6 39-5849,20 31 5849,21 17-532,27-6 532,34-17 0,31-35 0,38-37 0,30-31 0,15-46 0,3-42 0,-34-13 0</inkml:trace>
  <inkml:trace contextRef="#ctx0" brushRef="#br0" timeOffset="48167.04">4001 10648 8192,'-8'-9'3356,"-5"5"-3356,-11-7 5483,-13-2-5483,-15 6 7957,-12 11-7957,-6 12 1226,1 10-1226,12 12 0,17 6 0,14-3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34:45.54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6935 850 24575,'0'-1'0,"0"0"0,-2 0 0,2 0 0,2 0 0,-2 1 0,0 0 0,0-2 0,0 1 0,0 0 0,1 0 0,-1 0 0,0 0 0,1-1 0,-1 2 0,1-1 0,-1 0 0,1 1 0,0-1 0,-1 0 0,1 0 0,1 1 0,-2-2 0,1 1 0,0 1 0,0 0 0,0 0 0,-1-1 0,1 1 0,1-1 0,-1 1 0,0 0 0,0-1 0,0 1 0,0 0 0,1 0 0,-1-1 0,2 1 0,0 0 0,-1 1 0,0-1 0,2 0 0,-2 1 0,0-1 0,1 1 0,-1 0 0,0-1 0,1 0 0,-1 1 0,0 1 0,1 0 0,-2-1 0,1 0 0,1 0 0,1 4 0,4 3 0,-1 3 0,0-2 0,-1 0 0,0 2 0,0-1 0,-1 1 0,-1-1 0,3 12 0,20 96 0,-22-97 0,32 426 0,-36-387 0,-7-202 0,-2-13 0,21-233 0,-7 339 0,2 1 0,2 0 0,3 2 0,2-1 0,3 2 0,2-1 0,2 3 0,1-1 0,39-49 0,-47 73 0,1 0 0,2 1 0,35-30 0,-48 46 0,1-3 0,1 3 0,-1-2 0,1 1 0,-2 1 0,2-1 0,0 1 0,0 1 0,0-1 0,2 1 0,-2 0 0,1-1 0,-1 3 0,1-1 0,0 0 0,-1 1 0,13 0 0,-17 0-151,1 1-1,-1 0 0,2-1 0,-2 1 1,1 1-1,-1-1 0,1 1 1,6 3-1,18 18-6674</inkml:trace>
  <inkml:trace contextRef="#ctx0" brushRef="#br0" timeOffset="171.01">6880 1306 24575,'0'8'0,"4"4"0,16-2 0,33-18 0,39-20 0,42-26 0,30-19 0,6-7 0,-16 12 0,-30 16 0,-36 18-8191</inkml:trace>
  <inkml:trace contextRef="#ctx0" brushRef="#br0" timeOffset="464.05">8003 923 24575,'0'-9'0,"9"-10"0,4 15 0,-6 19 0,-4 20 0,-3 16 0,0 8 0,-1 6 0,5-1 0,5-10 0,17-15 0,20-13 0,24-28 0,26-30 0,20-34 0,1-31 0,-20-14 0,-28 11-8191</inkml:trace>
  <inkml:trace contextRef="#ctx0" brushRef="#br0" timeOffset="559.29">8331 443 24575,'-14'0'0,"-4"12"0,0 5-8191</inkml:trace>
  <inkml:trace contextRef="#ctx0" brushRef="#br0" timeOffset="1336.73">8688 803 24575,'-1'54'0,"-2"-16"0,3-2 0,9 60 0,-9-94 0,0-2 0,0 1 0,0-1 0,0 1 0,0-1 0,0 1 0,1-1 0,-1 1 0,0-1 0,0 1 0,0-1 0,1 0 0,-1 0 0,0 2 0,1-2 0,-1 0 0,0 1 0,1-1 0,-1 1 0,0-1 0,1 0 0,-1 1 0,2-1 0,-2 0 0,1 0 0,-1 1 0,0-1 0,1 0 0,-1 0 0,1 0 0,-1 0 0,2 1 0,19-10 0,17-27 0,44-67 0,-59 71 0,1 2 0,0 0 0,59-50 0,-79 78 0,-2-1 0,0 1 0,2 1 0,-2-1 0,2 0 0,-1 0 0,-1 1 0,2 0 0,-1 1 0,6-4 0,-8 4 0,0 0 0,0 0 0,0 0 0,0 0 0,1 0 0,-1 1 0,0-1 0,0 0 0,0 0 0,0 2 0,1-2 0,-1 0 0,0 1 0,0-1 0,0 0 0,-1 0 0,1 1 0,1 0 0,-1-1 0,0 1 0,-1 0 0,1-1 0,0 2 0,-1-1 0,1 0 0,-1-1 0,2 1 0,-2 0 0,1 0 0,-1-1 0,0 2 0,1 1 0,5 11 0,1 0 0,0 0 0,16 23 0,-17-31 0,0 0 0,-1 1 0,2-1 0,-1 0 0,1-1 0,1 0 0,-1 0 0,2-1 0,7 6 0,-2-6 0,0 2 0,1-1 0,-1-2 0,1 1 0,0-2 0,0 0 0,1 0 0,-1-1 0,1 0 0,-1-2 0,0 1 0,0-3 0,1 2 0,-1-1 0,0-2 0,0 1 0,18-8 0,-11 4 0,-2 1 0,1-4 0,-2 1 0,1-2 0,-1 1 0,-1-2 0,0-1 0,-1 1 0,0-1 0,-1-2 0,14-17 0,-26 29 0,1-4 0,-2 2 0,1 0 0,-1-2 0,-1 3 0,2-2 0,-2 0 0,-1-1 0,4-8 0,-5 14 0,0 0 0,0-1 0,0 1 0,0-1 0,0 1 0,-1-2 0,1 3 0,0-1 0,0-1 0,-1 1 0,1 0 0,-2-2 0,1 3 0,1-1 0,-1 0 0,0-1 0,-1-2 0,-1 4 0,2-1 0,-1 0 0,0 0 0,0-1 0,0 1 0,0 0 0,-1 0 0,2 1 0,-1-1 0,0 1 0,-1 0 0,1 0 0,0 0 0,-1 0 0,1 0 0,-4 0 0,-3 0 0,1 1 0,-2 0 0,1 1 0,1 1 0,0-1 0,-2 0 0,2 3 0,0-3 0,0 3 0,1-1 0,-1 0 0,1 1 0,0 0 0,0-1 0,-11 13 0,11-12 0,0 2 0,0 2 0,1-4 0,1 4 0,0-2 0,0 0 0,1 1 0,-1 0 0,1 0 0,1 0 0,1 0 0,-1 2 0,1-2 0,0 13 0,1-20 0,1 1 0,0 1 0,0-1 0,1 0 0,-1 1 0,0-1 0,1-1 0,-1 1 0,1 1 0,-1-1 0,1-1 0,0 2 0,0-1 0,1 0 0,-1-1 0,1 2 0,-1-1 0,0-1 0,2 2 0,-2-2 0,1 0 0,1 0 0,-2 1 0,1 0 0,0-1 0,1-1 0,-1 1 0,0 0 0,1 0 0,-1 0 0,0 0 0,4 1 0,0-1 0,0-1 0,0 0 0,0 0 0,-1 0 0,1 0 0,0 0 0,0-1 0,0-1 0,0 1 0,-1-1 0,1 1 0,-1 0 0,8-6 0,4-1 0,-2-2 0,2 1 0,-2-2 0,-1 0 0,0-1 0,0-1 0,-2 2 0,0-3 0,0 1 0,-2-1 0,17-28 0,-12 14 0,-1 0 0,-1-2 0,-2 1 0,-2-2 0,9-49 0,-12 39 0,-1-1 0,-5-81 0,-1 106 0,-2 0 0,1-1 0,-3 2 0,1 0 0,-1-1 0,-2 1 0,0-1 0,0 2 0,-21-29 0,26 40 0,-2 0 0,2 1 0,-1-1 0,-1 1 0,1-2 0,-2 3 0,1-2 0,0 2 0,-1-2 0,2 2 0,-2 0 0,0-1 0,1 1 0,-2 0 0,1 1 0,0-1 0,0 1 0,-6-1 0,6 2 0,2 0 0,-2 0 0,2 1 0,-2 0 0,1-1 0,0 1 0,1 1 0,-2-1 0,1 0 0,1 1 0,-2 1 0,2-2 0,-1 0 0,1 2 0,0 0 0,0-2 0,-1 2 0,2 0 0,-1-1 0,0 2 0,1-1 0,0-1 0,-4 8 0,-5 6 0,1 2 0,2-1 0,-1 2 0,3-2 0,0 1 0,0 0 0,1 2 0,3-1 0,0-1 0,-1 31 0,3-24 0,3-2 0,-1 2 0,1-2 0,3 0 0,0 0 0,1 1 0,2-2 0,13 27 0,-12-34 0,-1 0 0,2 0 0,0-1 0,1 0 0,1-1 0,1 0 0,-2 0 0,4-1 0,-1-1 0,27 16 0,-21-17 0,0 0 0,1 0 0,1-2 0,-1-1 0,2 0 0,0 0 0,46 4 0,-36-7 0,-1-3 0,2 1 0,-1-4 0,0 0 0,0-1 0,0-2 0,-2 0 0,2-3 0,-1 0 0,-2-1 0,1-3 0,47-22 0,-62 26-455,-2-1 0,26-18 0,7-16-6371</inkml:trace>
  <inkml:trace contextRef="#ctx0" brushRef="#br0" timeOffset="-980.03">5125 1595 24575,'-5'0'0,"4"0"0,11 0 0,22-12 0,35-12 0,22-3 0,13-5 0,-9 4 0,-18 6-8191</inkml:trace>
  <inkml:trace contextRef="#ctx0" brushRef="#br0" timeOffset="-636.46">5291 1763 24575,'8'-2'0,"1"1"0,0 0 0,1 0 0,-2-1 0,1-1 0,-1 1 0,16-7 0,-5 0 0,50-15 0,88-49 0,-134 62 0,-2-2 0,0 0 0,-2-1 0,1-1 0,-1-1 0,-2 0 0,30-34 0,-42 45 0,-1-1 0,0-1 0,-1 2 0,1 0 0,-2-2 0,2 0 0,-2 1 0,-1 0 0,1-1 0,1-12 0,-3 15 0,0-2 0,-1 1 0,1 1 0,-2-2 0,1 1 0,-1-1 0,1 2 0,-2-1 0,1 0 0,0 1 0,-2-1 0,2 0 0,-9-7 0,2 2 0,-7-8 0,16 15 0,11 10 0,5 5 0,-1 0 0,0 0 0,-1 1 0,-1 1 0,-1 0 0,0 0 0,-1 1 0,-1 0 0,-1 2 0,1-1 0,-2 0 0,7 25 0,-10-27 0,-2 1 0,-1-1 0,1 1 0,-2 0 0,0 1 0,-2-2 0,1 1 0,-2 0 0,-1 0 0,1-1 0,-3 0 0,1 0 0,-1 1 0,-1-1 0,-11 18 0,10-18-170,-3 0-1,1-2 0,-1 2 1,-1-2-1,-1 1 0,1-2 1,-23 17-1,11-15-6655</inkml:trace>
  <inkml:trace contextRef="#ctx0" brushRef="#br0" timeOffset="-5086.97">522 2603 24575,'9'0'0,"4"-5"0,-1 0-8191</inkml:trace>
  <inkml:trace contextRef="#ctx0" brushRef="#br0" timeOffset="-3245.82">386 1498 24575,'0'-19'0,"0"2"0,-3-3 0,1 2 0,-2-1 0,-5-18 0,8 32 0,0 3 0,-1-3 0,0 3 0,0-2 0,0 1 0,-1-1 0,1 1 0,0 0 0,-1 0 0,0 1 0,1-1 0,-2 1 0,-6-5 0,7 5 0,0 0 0,-1 1 0,1 0 0,-1 1 0,1 0 0,-1-1 0,1 1 0,-1-1 0,1 1 0,-1 0 0,1 0 0,-1 1 0,0-1 0,0 0 0,1 1 0,-1-1 0,1 1 0,0 0 0,-6 3 0,0-1 0,-2 3 0,2 0 0,0-1 0,0 2 0,0-2 0,1 2 0,0 0 0,1 0 0,-1 0 0,1 2 0,1-1 0,0 0 0,-8 15 0,-3 8 0,1 0 0,-19 56 0,17-26 0,1 1 0,6-1 0,0 2 0,5 1 0,3-1 0,9 97 0,-4-141 0,2 0 0,-1 2 0,2-2 0,1 1 0,1-2 0,1 1 0,20 34 0,-22-44 0,1 0 0,1 0 0,0 0 0,0-1 0,0 0 0,1 1 0,1-2 0,0 0 0,1 0 0,-1-1 0,1 0 0,0 0 0,1-2 0,0 1 0,15 4 0,-15-6 0,1 0 0,1 0 0,-1-2 0,0 1 0,1-1 0,-1-1 0,1 0 0,-2 0 0,1-1 0,1-1 0,-1 1 0,20-8 0,-17 4 0,1-1 0,0 0 0,-1-1 0,-1-1 0,0-2 0,0 1 0,-1 0 0,19-18 0,-9 6 0,0-2 0,-3-2 0,0 1 0,-3-2 0,0 1 0,-1-3 0,-2 1 0,-2-1 0,13-36 0,-7-2 0,-5 2 0,-3-1 0,-3-1 0,-3-1 0,-4 1 0,-10-94 0,0 104 0,3 41 0,2 14 0,-3 24 0,0 64 0,5 0 0,12 120 0,-5-147 0,3-1 0,4 1 0,33 99 0,-40-146 15,0-2 0,0 0 0,1 0 0,1-1 0,0 1 0,1-1 0,16 16 0,-21-23-68,0 0 0,0 0 0,1-1 0,-1 0 0,1 1 0,-1-1 0,1 0 0,-1 0 0,2-1 0,-2 1 0,2 0 0,-2-1 0,2 0-1,-2 0 1,2-1 0,0 1 0,-2 0 0,2-1 0,0 0 0,-1 0 0,0 0 0,0-1 0,1 1 0,-1-1 0,0 0 0,1 0 0,3 0 0,27-18-6773</inkml:trace>
  <inkml:trace contextRef="#ctx0" brushRef="#br0" timeOffset="-2586.98">577 2003 24575,'-1'1'0,"-1"-1"0,1 1 0,0-1 0,0 1 0,0-1 0,0 0 0,-1 1 0,1-1 0,0 1 0,0 1 0,0-1 0,0 0 0,-1 0 0,1 0 0,1-1 0,-1 1 0,0 1 0,1-1 0,-1 0 0,1 0 0,-1 0 0,1 0 0,0-1 0,-2 3 0,2-2 0,0 0 0,0 0 0,0 2 0,0-3 0,0 1 0,0 0 0,0 2 0,2 0 0,-1-3 0,0 2 0,0-1 0,0 2 0,2-2 0,-2 0 0,0 0 0,1 1 0,-1 0 0,2-1 0,-2 0 0,1 0 0,-1-1 0,2 1 0,-1 0 0,0-1 0,0 2 0,0-1 0,0-1 0,1 1 0,-1-1 0,3 0 0,11 2 0,1-1 0,1-1 0,-1 0 0,1 0 0,-1-1 0,19-5 0,105-25 0,-129 27 0,237-72 0,-206 58 0,-1-1 0,-1 0 0,63-42 0,-94 53 0,1 1 0,-2-1 0,0-2 0,1 1 0,-2 0 0,0-1 0,-1 1 0,12-21 0,-17 26 0,-1 3 0,0-2 0,0 0 0,1 1 0,-2 0 0,1-2 0,-1 2 0,1-1 0,-1 0 0,0 1 0,0-1 0,0 0 0,0 1 0,0-2 0,-1 2 0,1-1 0,-1 1 0,-1-1 0,1 0 0,0 1 0,0-2 0,0 3 0,-1-1 0,0-2 0,0 2 0,1 1 0,-1-1 0,-1-1 0,1 1 0,0 1 0,-1-2 0,1 2 0,0-1 0,-1 1 0,0 0 0,0-1 0,0 1 0,1 0 0,-2 0 0,2 0 0,-2 0 0,-2 1 0,-1-2 0,2 1 0,-1 0 0,-1 1 0,1-1 0,-1 1 0,1 0 0,-1 1 0,1-1 0,0 1 0,0 0 0,0 1 0,0-1 0,0 1 0,0 0 0,0 1 0,1-1 0,-12 6 0,14-5 0,-2 0 0,2-2 0,-1 2 0,1 0 0,-1-1 0,1 2 0,0-1 0,0 0 0,0 0 0,1 1 0,-1-1 0,1 1 0,0-1 0,0 2 0,1-2 0,-2 1 0,2-1 0,0 2 0,1-2 0,-1 2 0,1-1 0,-1 0 0,1 0 0,0 0 0,1 5 0,0-6 0,-1 1 0,1-1 0,0-1 0,2 2 0,-2-2 0,0 2 0,1-1 0,1 0 0,-1 0 0,0 1 0,1-3 0,-1 2 0,0 0 0,2-1 0,-2 0 0,5 3 0,0-2 0,-1 1 0,1-2 0,1 2 0,-1-1 0,0-2 0,1 2 0,11 1 0,9 0 0,0-2 0,0 0 0,37-3 0,65-10 0,-125 11 0,-1-1 0,0 1 0,0 0 0,0 0 0,0 0 0,1 0 0,-2 1 0,2-1 0,-2 1 0,1 0 0,4 1 0,-6-2 0,-1 2 0,2-1 0,-2 0 0,0 1 0,1-1 0,0 0 0,-1 1 0,0-1 0,1 1 0,-1-1 0,-1 2 0,2-2 0,-1 0 0,0 1 0,0 1 0,-1-2 0,1 1 0,-1-1 0,0 2 0,1-1 0,-1 3 0,2 18 0,-2 0 0,-6 41 0,3-46 0,1-2 0,1 2 0,1-1 0,1 1 0,0-1 0,7 32 0,-5-44 0,-2-2 0,1 2 0,0-3 0,1 3 0,-1-2 0,0 2 0,2-3 0,-2 2 0,2-1 0,-1 1 0,1-1 0,-1 0 0,1-1 0,0 1 0,0-1 0,1 1 0,-2-1 0,2 1 0,-1-2 0,1 0 0,0 1 0,-1-1 0,1 1 0,0-1 0,1-1 0,-2 0 0,1 1 0,8-1 0,0 0 0,-1-1 0,1 1 0,0-3 0,-1 1 0,0 0 0,0 0 0,1-2 0,-1 1 0,-1-2 0,12-7 0,0 1 0,-4-2 0,2-1 0,-1 0 0,-1-1 0,-2-2 0,1 1 0,-2-1 0,-1-2 0,0 0 0,-2 1 0,0-2 0,-1 0 0,16-41 0,-19 39 0,-1-1 0,-1 0 0,-2-1 0,-1 1 0,0 0 0,-2-2 0,-1 2 0,-2 0 0,0-2 0,-1 2 0,-2 0 0,-2-1 0,-6-23 0,8 41 0,2-1 0,-2 0 0,1 1 0,-2-1 0,0 0 0,-4-5 0,8 11 0,1 0 0,-1 0 0,0 0 0,0-1 0,-1 1 0,2 1 0,-1 0 0,0-1 0,0 0 0,0 1 0,0-1 0,-1 0 0,1 1 0,-1-2 0,1 2 0,0 0 0,-1-1 0,1 1 0,0 0 0,0 0 0,-1-1 0,0 1 0,1 0 0,0 0 0,0 1 0,-1-1 0,0 0 0,1 0 0,0 0 0,0 1 0,0-1 0,-2 2 0,2-2 0,0 1 0,0-1 0,0 1 0,0 0 0,-1-1 0,1 1 0,0-1 0,1 1 0,-1 1 0,-1 0 0,-4 4 0,0 1 0,0 0 0,1 0 0,1 0 0,0 0 0,0 1 0,0-1 0,2 1 0,-5 12 0,-12 79 0,18-84 0,-6 29 0,4-2 0,3 76 0,1-104 0,1 1 0,0 0 0,1-1 0,1-1 0,1 2 0,0-1 0,0-1 0,2 1 0,0-1 0,2 1 0,17 21 0,-19-30 9,0 4-1,2-4 1,-2 0-1,1 1 1,1 0 0,-1-2-1,1 1 1,0-1-1,0 0 1,1-1-1,0 0 1,-1 1-1,13-1 1,4 2-380,-1-3-1,2 0 1,48-2 0,-4-3-6455</inkml:trace>
  <inkml:trace contextRef="#ctx0" brushRef="#br0" timeOffset="-2210.27">2851 1835 24575,'-9'0'0,"11"0"0,24-12 0,25-12 0,28-11 0,10 1 0,8-6 0,3 3 0,-22 10 0,-24 7-8191</inkml:trace>
  <inkml:trace contextRef="#ctx0" brushRef="#br0" timeOffset="-1977.71">3126 1475 24575,'0'-8'0,"5"4"0,0 18 0,1 16 0,-1 21 0,-2 21 0,0 20 0,7 9 0,3 1 0,8-9 0,10-21 0,9-22 0,-3-20-8191</inkml:trace>
  <inkml:trace contextRef="#ctx0" brushRef="#br0" timeOffset="-1571.72">3811 1306 24575,'3'1'0,"1"-1"0,-1 1 0,1 0 0,-1 1 0,1-1 0,-2 0 0,2 0 0,-1 0 0,1 0 0,-2 2 0,2-1 0,-2-1 0,0 2 0,2-1 0,-2 0 0,0-1 0,4 8 0,35 45 0,-39-49 0,17 26 0,-3 2 0,-1 1 0,19 65 0,10 109 0,-34-145 0,0 92 0,-12-137 0,-5-32 0,-48-326 0,49 274 0,5-1 0,2 0 0,13-76 0,-11 128 0,0 1 0,2-1 0,-1 1 0,2 1 0,0-1 0,1 0 0,0 1 0,19-23 0,-24 33 0,2-1 0,-2 1 0,1-1 0,1 1 0,-1 0 0,2 0 0,-1-1 0,-1 3 0,2-2 0,-1 0 0,1 1 0,-1 1 0,0-2 0,1 2 0,1-1 0,-2 1 0,1 1 0,0-1 0,0-1 0,0 2 0,0-1 0,1 1 0,-2 0 0,1 0 0,1 1 0,-2 1 0,1-2 0,1 1 0,-1 0 0,-1 0 0,1 0 0,7 4 0,24 17-1365,-10 3-5461</inkml:trace>
  <inkml:trace contextRef="#ctx0" brushRef="#br0" timeOffset="-1399.01">3947 1763 24575,'5'0'0,"11"0"0,6-4 0,16-2 0,13-11 0,13-3 0,0-7 0,-2 2 0,-11 5-8191</inkml:trace>
  <inkml:trace contextRef="#ctx0" brushRef="#br0" timeOffset="2601.25">906 3732 24575,'3'-2'0,"0"2"0,0-1 0,0 0 0,-1 1 0,1-1 0,0 1 0,0-1 0,-1-2 0,0 2 0,1 0 0,-1-1 0,0 1 0,1-1 0,-1 0 0,0 0 0,1-1 0,-2 2 0,1-1 0,-1 0 0,0-1 0,2 2 0,-2-2 0,0 0 0,0 2 0,0-2 0,-1 0 0,2-1 0,1-5 0,-1 1 0,1-1 0,-2 1 0,0 0 0,0-2 0,-1 2 0,-1-9 0,0 10 0,-1 0 0,-1 0 0,1 0 0,-2-1 0,1 2 0,-1-1 0,1 1 0,-2 0 0,1-1 0,-1 1 0,-1 1 0,0-1 0,0 1 0,1 0 0,-1 0 0,-9-5 0,10 7 0,0-1 0,1 3 0,0-2 0,-2 0 0,2 1 0,-1 1 0,0 0 0,0-2 0,0 2 0,-1 0 0,1 0 0,0 1 0,0 0 0,-1-1 0,0 1 0,2 0 0,-2 1 0,1-1 0,-1 0 0,2 1 0,-2 0 0,1 0 0,-1 2 0,2-2 0,-1 0 0,-8 6 0,4 0 0,-1 0 0,2 1 0,0 0 0,0 2 0,1-2 0,0 1 0,1 0 0,0 1 0,1-1 0,0 1 0,0 1 0,-3 10 0,-8 25 0,2 2 0,2 0 0,3 0 0,2 0 0,2 0 0,3 59 0,5-40 0,4 2 0,4 0 0,34 119 0,-33-155 0,1 0 0,1-2 0,2 0 0,0 0 0,4-1 0,0-1 0,2 0 0,42 41 0,-51-57 0,1-2 0,0 0 0,0 0 0,1-2 0,1-1 0,1 1 0,-1 0 0,31 8 0,-35-12 0,2-2 0,0 0 0,0 0 0,2-3 0,-3 2 0,1-2 0,2 2 0,-2-4 0,0 1 0,1 0 0,-1 0 0,21-7 0,-20 3 0,-1 2 0,0-3 0,0 0 0,-1 0 0,-1 0 0,1-2 0,0 0 0,-1 0 0,13-11 0,-8 5 0,-3-1 0,1 0 0,-2-1 0,-1-1 0,19-28 0,-14 12 0,-2-1 0,-1 1 0,-2-2 0,-2-1 0,0 2 0,3-56 0,-8 46 0,-2-3 0,-3 2 0,-3-1 0,-15-86 0,17 126 0,-2 0 0,2 0 0,-1 0 0,-1 2 0,0-2 0,-4-7 0,7 13 0,0 0 0,0 0 0,0-1 0,-1 1 0,1 0 0,0-1 0,0 1 0,0 0 0,-1 0 0,1 0 0,0 0 0,0 0 0,-2 0 0,2 0 0,0 0 0,-1-2 0,1 2 0,0 0 0,-1 0 0,1 0 0,0 0 0,-1 0 0,1 0 0,0 0 0,-1 0 0,1 0 0,0 0 0,-1 0 0,1 0 0,0 0 0,-2 0 0,2 0 0,0 0 0,-1 0 0,1 0 0,0 0 0,0 0 0,-1 2 0,1-2 0,0 0 0,-1 0 0,1 0 0,0 0 0,0 0 0,-1 0 0,1 0 0,0 1 0,0-1 0,0 0 0,-1 0 0,1 1 0,0-1 0,0 0 0,0 1 0,0-1 0,-2 1 0,-1 11 0,-1-2 0,2 3 0,0-2 0,1 1 0,-1 0 0,2 0 0,2 18 0,0 5 30,0 0 0,4 0 0,17 63 0,-16-80-216,2 2 1,-1 0-1,1-1 0,3-2 1,-2 1-1,3-1 1,28 31-1,3-7-6640</inkml:trace>
  <inkml:trace contextRef="#ctx0" brushRef="#br0" timeOffset="3241.12">1262 4547 24575,'0'2'0,"0"-2"0,0 2 0,0 0 0,1-1 0,-1 0 0,0 2 0,0-3 0,1 1 0,-1 0 0,1 1 0,-1-1 0,1 1 0,1-1 0,-2-1 0,1 2 0,0-1 0,0 0 0,0 1 0,0-1 0,1 0 0,-1-1 0,0 0 0,0 1 0,0 0 0,0-1 0,1 1 0,-1 1 0,1-2 0,-1 1 0,0-1 0,2 0 0,-2 1 0,4-1 0,0 1 0,1-1 0,0 0 0,0 0 0,0 0 0,0-1 0,1 0 0,-2 0 0,7-3 0,24-6 0,-1-3 0,0 0 0,51-30 0,92-63 0,-134 77 0,-4 0 0,73-68 0,-99 83 0,-1-1 0,0 1 0,-1-1 0,-1-1 0,0 0 0,-2 0 0,-1-2 0,0 1 0,-1-1 0,6-24 0,-12 35 0,1 2 0,-1-2 0,-1 0 0,0 0 0,0 0 0,0 1 0,-1-1 0,-1 0 0,1 0 0,-1 1 0,0-1 0,-1 1 0,-3-7 0,5 12 0,1 0 0,-1 0 0,1 0 0,-1 0 0,1-1 0,-1 1 0,0 0 0,-1 0 0,1 1 0,1-1 0,-1 1 0,0-1 0,0-1 0,0 2 0,-1-1 0,1 0 0,-1 1 0,1-1 0,0 1 0,-1 0 0,1-1 0,0 1 0,-1 0 0,1-1 0,-3 1 0,2 1 0,-1-1 0,1 1 0,0 0 0,-1-1 0,1 1 0,1 0 0,-1 1 0,-1-1 0,2 0 0,-1 0 0,1 0 0,-2 2 0,2-2 0,-2 2 0,-4 4 0,0 1 0,1 2 0,0-2 0,0 1 0,-5 13 0,7-12 0,1-1 0,0 0 0,1 1 0,0-1 0,0 0 0,1 1 0,1-2 0,0 2 0,1 0 0,-1-1 0,4 11 0,-3-16 0,1 1 0,0 0 0,0-2 0,0 2 0,1-1 0,0 1 0,-1-1 0,2 0 0,-1 0 0,1-1 0,-1 1 0,1-1 0,0 2 0,1-3 0,-1 2 0,0-2 0,1 0 0,0 1 0,0 0 0,0-2 0,0 2 0,1-2 0,6 2 0,0 0 0,1-1 0,0 0 0,-2 0 0,2-2 0,0 0 0,0 0 0,14-2 0,9-3 0,38-9 0,18-4 0,-89 17 0,-1 1 0,-1 0 0,1 0 0,0 0 0,0 0 0,0 0 0,-1 0 0,2 0 0,-2 0 0,1 1 0,-1-1 0,2 0 0,-2 1 0,1 0 0,-1-1 0,2 2 0,-2-1 0,0 0 0,1-1 0,0 0 0,-1 1 0,0 1 0,1 0 0,-1-1 0,1 0 0,-1 0 0,0 0 0,0 0 0,-1 1 0,1 0 0,0-1 0,-1 0 0,2 0 0,-2 2 0,1-2 0,-1 1 0,1 2 0,0 9 0,0-2 0,0 1 0,-1 0 0,-3 18 0,1 13 0,3-40 0,-1 2 0,1-1 0,-1 0 0,1 0 0,1 0 0,0 0 0,-1 1 0,1-3 0,0 3 0,1-2 0,-1 1 0,0-1 0,1 1 0,0-1 0,1-1 0,-1 2 0,1-1 0,-1 0 0,1 0 0,-1-1 0,1 0 0,5 3 0,-3-3 0,0-1 0,-1 1 0,2-1 0,-1 0 0,0 1 0,0-2 0,0 0 0,1 0 0,-1 0 0,-1 0 0,1-2 0,1 1 0,-1 0 0,0 0 0,0-1 0,0 0 0,5-2 0,4-3 0,-1 0 0,1-1 0,-1 0 0,-1-2 0,1 1 0,-2-2 0,1 2 0,-2-3 0,0 1 0,-1 0 0,1-2 0,-3 1 0,1-1 0,9-20 0,-2 2 0,-2-2 0,-1 1 0,-1-1 0,-3-1 0,5-39 0,-11 45 0,0 1 0,-3-41 0,0 59 0,-2-1 0,1 0 0,-1 1 0,0 0 0,-1-1 0,0 1 0,-1 0 0,0-1 0,-11-15 0,15 24 0,-2 1 0,2-3 0,-1 2 0,0 0 0,0 0 0,1 0 0,-1-1 0,0 2 0,-1-1 0,1 0 0,0 0 0,0 0 0,-1 0 0,0 1 0,1-2 0,0 1 0,0 1 0,-1 0 0,0 0 0,1-1 0,-1 1 0,1 0 0,0-1 0,-2 1 0,2 0 0,0 0 0,-1 0 0,0 0 0,0 0 0,1 0 0,0 0 0,-2 1 0,2-1 0,0 1 0,-1-1 0,1 0 0,-1 0 0,1 1 0,0-1 0,-1 2 0,1-1 0,-1 0 0,1 0 0,0 0 0,0 0 0,0-1 0,0 2 0,-1-1 0,2 0 0,-2 2 0,-5 6 0,1 0 0,0-1 0,1 0 0,0 1 0,-7 21 0,1 6 0,0 0 0,3 1 0,2-1 0,2 2 0,1-1 0,2 0 0,2 0 0,12 68 0,-9-93 0,-2 0 0,1-2 0,2 0 0,0 2 0,-1-3 0,2 2 0,0-1 0,10 13 0,-11-18 0,0 0 0,0-1 0,0 1 0,1-1 0,0 1 0,0-2 0,-1 1 0,2-1 0,-1 1 0,1-2 0,0 0 0,0 0 0,0 1 0,0-1 0,12 2 0,37 0-1365,-5-5-5461</inkml:trace>
  <inkml:trace contextRef="#ctx0" brushRef="#br0" timeOffset="3443">3207 4212 24575,'14'0'0,"10"0"0,14-5 0,15 0 0,17-12 0,10-4 0,1-6 0,-4 3 0,-14 3-8191</inkml:trace>
  <inkml:trace contextRef="#ctx0" brushRef="#br0" timeOffset="3647">3564 3803 24575,'0'12'0,"0"13"0,0 22 0,9 27 0,4 18 0,-1 6 0,6-4 0,1-6 0,2-20 0,-2-22-8191</inkml:trace>
  <inkml:trace contextRef="#ctx0" brushRef="#br0" timeOffset="3912.42">4249 3467 24575,'0'-5'0,"9"14"0,4 14 0,8 20 0,0 20 0,-2 11 0,-5 10 0,-5 1 0,5-3 0,1-17-8191</inkml:trace>
  <inkml:trace contextRef="#ctx0" brushRef="#br0" timeOffset="4240.42">4331 3779 24575,'10'-1'0,"1"0"0,-2 0 0,0 0 0,2-2 0,-2 1 0,0 0 0,15-8 0,64-32 0,-62 28 0,-1 2 0,0-2 0,-2-2 0,0 0 0,0 0 0,-2 0 0,0-3 0,-2-1 0,21-24 0,-30 30 0,0 1 0,-1-1 0,-2-1 0,1 1 0,-2 0 0,1-1 0,-2 0 0,-1 0 0,0-1 0,-2 0 0,1 1 0,-2 0 0,0-2 0,-3-22 0,-4 21 0,6 17 0,0 1 0,0 0 0,0 0 0,0 0 0,0 0 0,0 0 0,0 0 0,0 0 0,0 0 0,0 0 0,-1 0 0,1-1 0,0 1 0,0 0 0,0 0 0,0 0 0,0 0 0,0 0 0,-2 0 0,2 0 0,0 0 0,0 0 0,0 0 0,0 0 0,0 0 0,0 0 0,-1 0 0,1 0 0,0 0 0,0 0 0,0 0 0,0 0 0,0 0 0,0 0 0,-1 0 0,1 1 0,0-1 0,0 0 0,0 0 0,0 0 0,0 0 0,0 0 0,0 0 0,0 0 0,0 0 0,-1 0 0,1 1 0,0-1 0,0 0 0,0 0 0,0 0 0,0 0 0,0 0 0,-11 32 0,7 23 0,1-1 0,3 2 0,13 76 0,-9-110 30,-1 0 0,3 1 0,16 38 0,-16-49-195,0-1 0,0 1 0,1 0 0,1-3 0,-1 3 0,2-2 0,0-1 0,14 12 0,10 3-6661</inkml:trace>
  <inkml:trace contextRef="#ctx0" brushRef="#br0" timeOffset="4780.18">3893 4043 24575,'0'-4'0,"9"-2"0,-1 5 0,-12 10 0,-14 14 0,-18 8 0,-23 9 0,-17 4 0,-16-2 0,6-12-8191</inkml:trace>
  <inkml:trace contextRef="#ctx0" brushRef="#br0" timeOffset="5501.24">5838 3372 24575,'9'0'0,"14"0"0,23-13 0,25-12 0,24-10 0,13 2 0,3-2 0,-13 3 0,-24 10-8191</inkml:trace>
  <inkml:trace contextRef="#ctx0" brushRef="#br0" timeOffset="5654.54">6002 3490 24575,'10'-3'0,"17"-11"0,17-11 0,11-7 0,10-9 0,-6-1 0,-4-1 0,-11 8-8191</inkml:trace>
  <inkml:trace contextRef="#ctx0" brushRef="#br0" timeOffset="5824.85">6359 3132 24575,'-9'-5'0,"-13"-1"0,-8 1 0,18 1 0,27 10 0,25 10 0,16 16 0,7 16 0,-7 11 0,-11 10 0,-16 4 0,-31 0 0,-18-2 0,-18-15 0,-10-8 0,4-13-8191</inkml:trace>
  <inkml:trace contextRef="#ctx0" brushRef="#br0" timeOffset="6727.53">7620 2579 24575,'2'49'0,"14"69"0,-2-21 0,11 408 0,-25-554 0,14-327 0,54 2 0,-44 295 0,1 2 0,67-129 0,-73 171 0,44-61 0,-56 87 0,1 1 0,0-2 0,2 2 0,-1-1 0,0 2 0,2-1 0,-2 1 0,3 0 0,-2 0 0,16-5 0,-23 10 0,1 1 0,0-1 0,0 1 0,-1 0 0,2 0 0,-1 1 0,0 0 0,0-1 0,0 1 0,0 0 0,1 0 0,-2 0 0,2 0 0,-2 1 0,1-1 0,0 0 0,0 1 0,5 3 0,-3-1 0,-1-1 0,-1 1 0,1 0 0,0 1 0,-1-1 0,1 0 0,-2 1 0,2 0 0,-1 0 0,-1 0 0,4 8 0,2 3 0,1 1 0,-3 0 0,0 1 0,-2-1 0,0 1 0,4 25 0,-5-10 0,-2-2 0,-1 2 0,-2-1 0,-1-1 0,-3 1 0,1 0 0,-3-1 0,-3 1 0,-21 53 0,19-60 0,-2 2 0,0-2 0,-1-1 0,-2 1 0,-1-1 0,0-2 0,-2 0 0,-1 0 0,-1-1 0,-2-3 0,-36 25 0,48-35 0,-1 1 0,0-2 0,1-1 0,-26 9 0,34-14 0,-1 2 0,-1-1 0,2 0 0,-2-1 0,1 2 0,-1-2 0,2 0 0,-2 0 0,1 0 0,-1-2 0,2 2 0,-2-1 0,1 0 0,-1 0 0,-7-4 0,12 5 0,1 0 0,-1 0 0,0 0 0,1 0 0,-1 0 0,1-1 0,-1 1 0,1 0 0,-2 0 0,2-1 0,-1 1 0,1 0 0,-1-1 0,1 1 0,-1-1 0,1 1 0,0 0 0,-1 0 0,1 0 0,0-2 0,-1 2 0,1-1 0,0 0 0,-2 1 0,2-1 0,0 1 0,0-1 0,0 1 0,0-1 0,-1-1 0,1 2 0,0 0 0,0 0 0,0-1 0,0 1 0,1-1 0,-1 0 0,0 1 0,0-1 0,0 1 0,0-1 0,0-1 0,2 2 0,-2-1 0,0 1 0,1 0 0,-1 0 0,0-1 0,1 1 0,-1-1 0,0 1 0,1 0 0,-1-1 0,1 1 0,-1 0 0,1-1 0,4-3 0,-1 3 0,0-1 0,0-1 0,0 1 0,1 2 0,0-2 0,4-1 0,5 1 0,1 1 0,-1 0 0,0 1 0,0 0 0,1 1 0,-1-1 0,0 1 0,0 3 0,0-2 0,14 6 0,25 8 0,62 27 0,-82-27 0,48 17 0,-44-15 0,1-2 0,0-1 0,2-2 0,47 9 0,-78-19-114,0-2 1,0 0-1,0-1 0,1 0 0,-2 0 1,1 0-1,0-1 0,1-2 0,-2 2 1,1 0-1,10-5 0,22-12-6712</inkml:trace>
  <inkml:trace contextRef="#ctx0" brushRef="#br0" timeOffset="7454.87">8688 2795 24575,'-4'1'0,"1"-1"0,-2 0 0,2 1 0,-1 0 0,1 1 0,-1-1 0,1 0 0,0 1 0,0-2 0,-1 2 0,2 1 0,-1-1 0,0-1 0,0 2 0,-3 2 0,5-5 0,0 2 0,0-1 0,-1 0 0,1 0 0,0 0 0,1 0 0,-1 1 0,0-1 0,1 0 0,-1 0 0,-1 0 0,2 0 0,-1 2 0,1-3 0,0 1 0,0 1 0,-1-1 0,1 1 0,0 0 0,0-2 0,0 1 0,0 1 0,0 0 0,1-1 0,-1 1 0,0-1 0,1-1 0,-1 3 0,0-2 0,2 0 0,-1 0 0,-1 1 0,1-2 0,0 2 0,0-1 0,0 1 0,1-1 0,-1-1 0,0 1 0,0-1 0,0 2 0,0-2 0,1 0 0,-1 0 0,0 0 0,0 0 0,0 1 0,0-1 0,0 0 0,1 0 0,-1 0 0,0 0 0,0 0 0,0 0 0,0 0 0,1-1 0,-1 1 0,0 0 0,0 0 0,0 0 0,0 0 0,-1-2 0,2 2 0,-1-1 0,0 1 0,0-1 0,0 0 0,-1 1 0,1-1 0,1 0 0,-1-1 0,-1 2 0,1 0 0,-1-1 0,1 0 0,-1 0 0,2-3 0,3-1 0,0-1 0,-2-1 0,2 1 0,2-10 0,-2 4 0,-1-1 0,-1 2 0,0-2 0,1-13 0,-4 23 0,1-2 0,-1 0 0,0 1 0,-1-1 0,1 0 0,-2 2 0,1-2 0,0 0 0,0 2 0,0-3 0,-2 3 0,1-2 0,0 1 0,-3-4 0,4 7 0,0 1 0,1-1 0,-1 0 0,-1 0 0,2 1 0,-1-1 0,0-1 0,0 2 0,1 0 0,-1 0 0,0-1 0,-1 1 0,1-1 0,0 1 0,0 0 0,0-1 0,0 1 0,-1 0 0,1 0 0,0 0 0,0 0 0,0 0 0,0 0 0,-1 0 0,1 0 0,0 0 0,0 0 0,0 0 0,0 1 0,-1-1 0,1 0 0,1 1 0,-1-1 0,0 1 0,0-1 0,0 0 0,-1 0 0,1 2 0,1-1 0,-1-1 0,0 1 0,1 0 0,-1 0 0,0-1 0,-1 3 0,-2 1 0,0 1 0,1 1 0,-1-3 0,1 3 0,-1 0 0,-3 8 0,5-10 0,1 2 0,0-1 0,0 1 0,-1 0 0,2-2 0,0 2 0,0-1 0,0 1 0,0-1 0,2 0 0,-1 0 0,0 1 0,0-1 0,1 0 0,1 0 0,-1-1 0,0 2 0,1-1 0,0-1 0,1 1 0,-1-1 0,1 0 0,-1 0 0,2 0 0,-2 0 0,2-1 0,10 8 0,-8-6 0,1-1 0,0 0 0,1 0 0,-1-1 0,1 0 0,-1 1 0,2-3 0,-1 2 0,-1-1 0,1 0 0,1-1 0,-1-1 0,0 0 0,1 0 0,-1 0 0,0 0 0,1-1 0,9-3 0,0 0 0,-2-3 0,2 1 0,-1 0 0,-1-2 0,-1 0 0,2-2 0,-3 1 0,1-1 0,26-23 0,-22 16 0,-1-2 0,-2-2 0,1 1 0,-2-2 0,-2 1 0,13-24 0,-4-3 0,-3 1 0,-3-1 0,-2 0 0,-3-1 0,-1-2 0,3-55 0,-12 89 0,-1-3 0,-1 2 0,0-1 0,-1 0 0,-1-1 0,-2 2 0,-5-19 0,9 34 0,-1 2 0,-1-2 0,1 0 0,0 1 0,0 1 0,0-3 0,0 2 0,-1 1 0,1-2 0,-1 1 0,1 1 0,-2-1 0,1 0 0,0 0 0,1 1 0,-2-1 0,1 0 0,0 2 0,-1-2 0,0 1 0,1 0 0,-1 0 0,-5-2 0,6 3 0,-1 1 0,1-1 0,-1 2 0,0-1 0,1-1 0,0 1 0,-1 0 0,1 0 0,0 0 0,-1-1 0,1 3 0,0-2 0,0 1 0,0-1 0,0 1 0,1-1 0,-2 1 0,2 0 0,0 1 0,-1-2 0,0 1 0,1 1 0,0-1 0,0-1 0,0 1 0,0 3 0,-8 14 0,1 2 0,1-3 0,1 3 0,-5 35 0,0 89 0,9-101 0,-5 239 0,13-1 0,68 402 0,-65-640 0,-6-29 0,1 2 0,-2-2 0,-1 29 0,-2-43 0,-5-12 0,-13-49 0,-21-115 0,9-73 0,22 126 0,11-199 0,3 271 0,2 0 0,2 1 0,3 0 0,2 2 0,2-2 0,44-81 0,-50 113 0,2 1 0,1-2 0,-1 3 0,2 0 0,2 0 0,-1 1 0,1-1 0,2 3 0,26-17 0,-34 22 0,1 2 0,-1-1 0,2 2 0,-2 0 0,2 1 0,0-2 0,-1 4 0,18-5 0,-20 5 0,-2 1 0,1 0 0,0 0 0,0 0 0,0 1 0,0 0 0,1 1 0,-1 0 0,-1 0 0,1-1 0,-1 3 0,1-1 0,9 5 0,-11-5 0,-1 0 0,0-1 0,-1 2 0,1-1 0,0 1 0,-1-1 0,1 1 0,-2 1 0,1-2 0,-1 2 0,1-1 0,-1 1 0,0 0 0,-1 1 0,0-2 0,1 0 0,-1 2 0,-1-1 0,0 0 0,1 1 0,-1-1 0,0 0 0,-1 0 0,0 1 0,0 0 0,-1-2 0,1 1 0,-1 1 0,-4 7 0,1 1 0,-1-3 0,-1 2 0,0-2 0,-1 1 0,0-1 0,-1 0 0,0 0 0,-2-2 0,1 2 0,-22 17 0,0-6-227,1-1-1,-3-3 1,1 0-1,-3-1 1,-57 21-1,16-13-6598</inkml:trace>
  <inkml:trace contextRef="#ctx0" brushRef="#br0" timeOffset="7801.12">9455 2650 24575,'16'-1'0,"-1"0"0,1 0 0,-1-3 0,1 1 0,0 1 0,-2-4 0,1 1 0,18-8 0,10-7 0,53-34 0,-56 29 0,-1-2 0,-3-1 0,0 1 0,-2-5 0,-3 1 0,39-47 0,-50 53 0,-3-2 0,0 2 0,-2-3 0,-1 2 0,-2-3 0,0 1 0,-3-1 0,1 1 0,5-61 0,-14 43 0,-2-1 0,-3 1 0,-1-1 0,-4 0 0,-1 2 0,-23-59 0,27 86 0,-1 0 0,1-1 0,-4 2 0,1-1 0,0 2 0,-3 0 0,-15-17 0,26 31 0,-1 0 0,0-1 0,0 2 0,1 0 0,-1-1 0,-1 0 0,1 0 0,0 1 0,-1 1 0,1-2 0,0 0 0,-1 1 0,1 0 0,0 1 0,-2-1 0,2 0 0,-1 1 0,0 0 0,1 0 0,-1 0 0,-4 0 0,4 0 0,1 0 0,-1 1 0,0 0 0,0 0 0,1 0 0,0 1 0,-1 0 0,1-2 0,0 2 0,-1-1 0,1 2 0,0-1 0,1-1 0,-2 2 0,1-1 0,-2 4 0,-4 5 0,1 1 0,1 2 0,1-2 0,-1 0 0,1 2 0,-2 17 0,2-9 0,2 0 0,1-1 0,0 2 0,2-1 0,2 1 0,0-2 0,1 2 0,2-2 0,1 1 0,0 0 0,11 20 0,-10-27 0,0-2 0,3 1 0,-2 0 0,2-1 0,1 1 0,-1-3 0,2 2 0,1-2 0,-1 0 0,1 0 0,1-2 0,1 2 0,-1-3 0,2 1 0,0-2 0,22 9 0,-13-7 15,-2-2 0,2-2 0,-1 0 0,2 0 0,-2-3 0,2 0 0,46 0 0,-35-5-312,1 1 0,-1-4 0,-1-1 0,57-15 0,4-11-6529</inkml:trace>
  <inkml:trace contextRef="#ctx0" brushRef="#br0" timeOffset="8255.81">10879 1883 24575,'0'-9'0,"-1"2"0,-1-1 0,1 1 0,-2-1 0,0 1 0,1 0 0,-2 0 0,1 0 0,-2-1 0,0 1 0,1 1 0,-1 0 0,-1 1 0,0-2 0,1 1 0,-1 1 0,-1-1 0,0 2 0,0-1 0,0 0 0,0 1 0,-1 0 0,-11-4 0,12 6 0,1 0 0,-1 1 0,1 1 0,-1-1 0,0 1 0,1 0 0,0 0 0,0 0 0,-1 1 0,0-1 0,1 1 0,-1 1 0,-7 3 0,3-2 0,1 1 0,-1 1 0,1 1 0,1-1 0,-1-1 0,1 3 0,-12 10 0,12-9 0,1-1 0,-1 1 0,1 1 0,0-1 0,1 0 0,1 2 0,0-1 0,1 2 0,-1-1 0,1 1 0,2-2 0,-1 1 0,1 1 0,0-1 0,0 13 0,3-21 0,0 1 0,0 1 0,0-3 0,1 2 0,-1 1 0,1-2 0,-1 2 0,1-2 0,0 0 0,1 2 0,0-2 0,-1 1 0,0-1 0,2 1 0,-2 0 0,1-2 0,0 1 0,1 2 0,-1-3 0,4 4 0,-1-2 0,-1-2 0,2 3 0,-1-2 0,1-1 0,-1 2 0,0-2 0,1 0 0,0 1 0,0-2 0,10 1 0,-1-1 0,0 0 0,0 0 0,-1-1 0,1 0 0,1-2 0,-2 0 0,0 0 0,19-8 0,-15 3 0,-2-1 0,0-2 0,1 2 0,-2-2 0,-1 0 0,1-1 0,14-17 0,-3 5 0,-24 22 0,-1 2 0,0-1 0,1 0 0,0 0 0,-1 0 0,1 0 0,0 1 0,-1-2 0,1 1 0,0 1 0,0 0 0,0 0 0,-1-1 0,1 1 0,1 0 0,-2 0 0,1 0 0,1 0 0,-2 0 0,1 0 0,0 0 0,0 0 0,0 1 0,-1-1 0,1 0 0,0 0 0,0 1 0,-1 1 0,4 0 0,5 3 0,-1 0 0,1 1 0,-1 0 0,9 8 0,5 4 0,-10-11-76,-2 0 1,2-2-1,1 0 0,-1 1 0,1-2 0,0 1 0,0-3 0,0 2 1,1-2-1,-1 1 0,0-2 0,1 0 0,0-1 0,-1 0 1,1-1-1,-1-2 0,23-2 0,44-14-6750</inkml:trace>
  <inkml:trace contextRef="#ctx0" brushRef="#br0" timeOffset="8644.49">11428 1595 24575,'-11'-1'0,"-1"2"0,0-1 0,1 2 0,-1-1 0,0 2 0,-18 5 0,23-6 0,0 2 0,0-1 0,0-1 0,0 3 0,1-1 0,0 0 0,1 1 0,-1 0 0,0-1 0,-8 11 0,3-1 0,2 3 0,0-3 0,1 1 0,1 0 0,0 1 0,1 1 0,1-1 0,1 0 0,1 1 0,0 0 0,2-1 0,-1 2 0,2-2 0,6 34 0,-5-43 0,2-1 0,-1 1 0,0 0 0,2 0 0,-1-1 0,1 0 0,-1 1 0,2-3 0,0 2 0,-1 0 0,1 0 0,1-2 0,-2 1 0,2 0 0,0-1 0,1 1 0,-1 0 0,1-3 0,0 3 0,0-3 0,0 2 0,0-2 0,1 0 0,-1 1 0,1-1 0,-1-1 0,11 0 0,-3 2 0,0-2 0,0 0 0,-1-1 0,1-1 0,0 0 0,0-2 0,-1 2 0,2-2 0,-2-1 0,1 1 0,-1-2 0,-1 0 0,23-11 0,-20 7 0,0-2 0,-1 1 0,1-3 0,-2 1 0,0-1 0,-2 1 0,0-2 0,0-2 0,-1 2 0,16-29 0,-13 15 0,0-2 0,-2 1 0,-2 0 0,0-3 0,3-31 0,-11 56 0,-1-1 0,0 0 0,-1 0 0,0 0 0,-1 1 0,1-1 0,-1-1 0,-2 1 0,-1-8 0,4 15 0,-1 0 0,-1-2 0,2 2 0,-1-1 0,0 2 0,0-1 0,0-2 0,0 2 0,-1 0 0,1 0 0,0 0 0,-1 0 0,1-1 0,-1 1 0,0 1 0,1-1 0,-1 0 0,-3-1 0,3 2 0,-1 0 0,0 0 0,0 0 0,0 0 0,1 0 0,-1 0 0,0 0 0,0 0 0,1 1 0,-1-1 0,0 1 0,1 0 0,0 0 0,-2 0 0,2 1 0,-4 0 0,-2 4 0,0-2 0,1 2 0,0 0 0,0 0 0,0 0 0,1 1 0,-1 0 0,2 0 0,-1 0 0,2 1 0,-1-1 0,0 1 0,-2 7 0,2 0 0,-1 0 0,1 2 0,0-2 0,3 1 0,-1-1 0,0 19 0,3-29 0,0 1 0,1-1 0,-1 0 0,2 1 0,-1-1 0,0-1 0,1 2 0,1-1 0,-1-1 0,0 2 0,1-2 0,0 1 0,-1-1 0,2 2 0,-1-3 0,2 2 0,-1-2 0,0 2 0,1-3 0,0 3 0,-1-3 0,1 2 0,0-1 0,0 0 0,1-1 0,-1 0 0,1 1 0,-1-2 0,11 4 0,10 0 0,0 0 0,1-1 0,0-1 0,-2-2 0,39-1 0,-14-1-455,1-4 0,83-13 0,-37-4-6371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1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415 1692 24575,'2'-45'0,"-2"-40"0,0 78 0,-2-1 0,2 4 0,0-4 0,-1 1 0,-1 1 0,1 0 0,0 0 0,0-1 0,-5-9 0,5 14 0,0 0 0,1 0 0,-1 0 0,-1-1 0,1 2 0,0 0 0,-2-1 0,2 1 0,0 0 0,0-1 0,-1 0 0,1 1 0,0 0 0,-1 1 0,1-2 0,-2 2 0,2-1 0,-1 1 0,1 0 0,-1 0 0,1 0 0,0 0 0,-2 0 0,2 0 0,-1 1 0,0-1 0,1 2 0,0-2 0,0 1 0,-2 0 0,0 3 0,-6 2 0,1 3 0,-1-1 0,-14 21 0,0 2 0,-29 52 0,43-68 0,2 2 0,-1 1 0,0-1 0,1 1 0,-11 36 0,18-50 0,-1-1 0,-1 1 0,1 0 0,1-1 0,-1 2 0,1-1 0,0-2 0,0 2 0,0 0 0,0 1 0,0-3 0,0 3 0,0-1 0,0 0 0,0-1 0,0 1 0,0 0 0,1 1 0,0-3 0,0 2 0,0 0 0,0 0 0,0-2 0,0 3 0,1-3 0,-1 1 0,0 0 0,1 0 0,-1 0 0,0-1 0,1 2 0,4 2 0,1 3 0,1-3 0,1 3 0,1-3 0,-1 1 0,-1-2 0,15 5 0,80 25 0,19 7 0,-107-35 0,2 3 0,-1 0 0,1 1 0,-2 3 0,15 15 0,-25-25 0,0 4 0,0-3 0,-1 2 0,2 0 0,-3 0 0,2 0 0,-1 2 0,5 10 0,-8-13 0,0-2 0,0 0 0,0 0 0,0 2 0,0-2 0,0 0 0,-1 2 0,2-1 0,-1-1 0,-1 1 0,0 0 0,0 1 0,0-1 0,0 0 0,-1 0 0,1 0 0,-2-1 0,1 2 0,-1 6 0,-4 8 0,0-1 0,-1 0 0,0 0 0,0-2 0,-2 1 0,1-1 0,-2-1 0,-18 26 0,-6 8 0,-1-1 0,-1-4 0,-2-3 0,-1-3 0,-1-3 0,0-2 0,-2-4 0,1-3 0,-51 20 0,87-44 15,-3-2 0,1 2 0,1-2-1,-1-1 1,-1 0 0,2 0 0,-15-4 0,19 3-86,-1-1 0,0 1 1,0 0-1,1-2 0,-1 1 1,1-1-1,-1 0 0,1 1 1,0-1-1,0 0 0,-1-1 1,2 1-1,-1-1 1,-1 1-1,2-1 0,0 0 1,-2-1-1,2 1 0,0 0 1,-1-9-1,-10-53-6755</inkml:trace>
  <inkml:trace contextRef="#ctx0" brushRef="#br0" timeOffset="1">629 1936 24575,'0'25'0,"0"-1"0,2 1 0,1-1 0,-2 1 0,2-1 0,0 0 0,8 30 0,-10-46 0,3 1 0,-3-2 0,2 2 0,-1-3 0,1 3 0,1-2 0,-1 0 0,0-1 0,2 0 0,-2 0 0,0 0 0,2-1 0,-1 1 0,0-2 0,1 2 0,-1-3 0,1 1 0,-1 0 0,1-1 0,1 0 0,-2-2 0,1 2 0,6 0 0,-8-3 0,0 1 0,1-1 0,-2 0 0,2 0 0,-1-1 0,0 1 0,1-2 0,-2 1 0,2-1 0,-1 1 0,0 0 0,-1-2 0,2 0 0,-2 1 0,1 0 0,-1-2 0,2 1 0,0-4 0,1 0 0,-1 0 0,-1-2 0,0 2 0,2-1 0,-3 0 0,0-2 0,1 1 0,0 1 0,2-15 0,0-12 0,0 2 0,-1-1 0,-2-1 0,3-60 0,-5 88 0,0 1 0,0 0 0,-1-2 0,0 3 0,0-2 0,-2-8 0,3 15 0,0-2 0,0 2 0,0 0 0,-1-1 0,1 1 0,0-2 0,0 2 0,0 0 0,0-1 0,0 1 0,0 0 0,0 0 0,0-2 0,-1 2 0,1 0 0,0 0 0,-1-1 0,1 1 0,0 0 0,0 0 0,0 0 0,0-1 0,-1 1 0,1 0 0,0 0 0,-1 0 0,1 0 0,0 0 0,-1 0 0,0 0 0,1 1 0,0-1 0,-1 1 0,-1 1 0,1-2 0,1 1 0,-1 1 0,1-1 0,0 1 0,-1-1 0,0 0 0,1-1 0,-1 2 0,1-1 0,0 0 0,0 3 0,-1 5 0,-1-2 0,0 2 0,0-1 0,1-1 0,1 1 0,-1 0 0,1 1 0,0-1 0,0 1 0,0-1 0,1 1 0,-1-1 0,1 1 0,-1-1 0,3-1 0,-1 1 0,-1-1 0,0 2 0,2-2 0,-2 1 0,3-1 0,-2 0 0,0 0 0,7 10 0,-8-13 0,2 0 0,0 0 0,0 0 0,0 0 0,-1 0 0,1-2 0,1 3 0,-1-3 0,0 2 0,1-3 0,-2 2 0,3-2 0,-3 0 0,2 1 0,-1-1 0,1 0 0,0-1 0,-1 0 0,0 0 0,2 0 0,-3-1 0,2 1 0,0-1 0,0-1 0,-2 1 0,1 0 0,2-2 0,-3 0 0,1 0 0,1 0 0,-1 0 0,0 1 0,5-8 0,-2 0 0,2-1 0,-1 0 0,-1-1 0,1 0 0,-2-1 0,1 1 0,-1-2 0,1-1 0,-2 2 0,1-3 0,-2 2 0,1-1 0,-2-1 0,2-1 0,-1 2 0,1-34 0,-9 189 0,5-125 0,1 2 0,-1 0 0,0-1 0,2 0 0,0 0 0,6 24 0,-8-37 0,1 0 0,-1 0 0,1-1 0,-1 0 0,0 1 0,1 0 0,-1-1 0,3 0 0,-2 1 0,-1 0 0,1-2 0,1 2 0,-1-2 0,0 1 0,-1 0 0,2 0 0,-1 0 0,0-2 0,2 2 0,-2 0 0,0-2 0,0 2 0,1-2 0,0 2 0,-2-1 0,3-1 0,-1 0 0,-1 1 0,1-1 0,-1 0 0,0 0 0,1 0 0,1 0 0,-3-1 0,2 1 0,0-1 0,-1 1 0,1-2 0,-1 2 0,0-2 0,2 2 0,-2-2 0,0 0 0,0 2 0,1-2 0,-1 0 0,0 0 0,3-3 0,10-17 0,-1-1 0,0-2 0,-1-2 0,0 1 0,14-35 0,-12 20 0,27-49 0,-39 88 0,-1-2 0,1 0 0,-1 2 0,1 0 0,0 0 0,-1-2 0,2 2 0,-1 0 0,0 1 0,-1-2 0,1 2 0,2-1 0,-3 1 0,1 0 0,0 1 0,1-2 0,-2 2 0,5-2 0,-2 4 0,1 0 0,0-1 0,-2 2 0,3-2 0,-3 2 0,2 0 0,3 4 0,14 10 0,-12-12 12,0-1 0,1 0 0,-1 0 0,1 0 0,-2-3 0,2-1 0,-2 1 0,1-2 0,18-4 0,-12-1-260,-1-1 1,1-1-1,-1-2 1,2 0-1,13-17 1,22-21-6579</inkml:trace>
  <inkml:trace contextRef="#ctx0" brushRef="#br0" timeOffset="2">1763 1451 24575,'-1'-4'0,"1"0"0,-1 1 0,0-2 0,1 3 0,-2-2 0,1 1 0,0-1 0,0 1 0,1 0 0,-1-1 0,-1 1 0,1 0 0,0 1 0,0-1 0,-2 0 0,2 0 0,-1 2 0,0-2 0,2 0 0,-3 2 0,2-1 0,-4-2 0,0 0 0,-1-2 0,0 2 0,0 1 0,0-1 0,0 1 0,-9-1 0,10 3 0,1 1 0,0 0 0,-1 1 0,0-1 0,1 1 0,0 1 0,-1 1 0,0-2 0,1 2 0,-1 0 0,1 1 0,1-1 0,-1 1 0,0 0 0,0 0 0,-1 0 0,3 2 0,-1 0 0,-2-1 0,3 1 0,-1 0 0,0 1 0,0-1 0,-3 13 0,0-4 0,2 2 0,-2 0 0,2 0 0,2-1 0,-1 3 0,-1-1 0,2 0 0,0 0 0,1 32 0,1-44 0,0 1 0,0 0 0,0 0 0,0 1 0,0-3 0,1 2 0,1 0 0,-1 0 0,0-2 0,4 11 0,-5-15 0,1 3 0,0-4 0,0 4 0,0-4 0,-1 4 0,0-3 0,1 0 0,1 1 0,-1-1 0,1 2 0,-1-2 0,0-1 0,0 2 0,0-1 0,0 0 0,1-1 0,-1 2 0,0 0 0,1-2 0,0 0 0,-1 1 0,1-1 0,-1 0 0,0 0 0,0 0 0,2 0 0,-2 0 0,0-1 0,0 1 0,3-2 0,2-2 0,-2-1 0,2 1 0,-2-2 0,1 2 0,0-1 0,-1-1 0,1-1 0,-1 0 0,0 2 0,0-4 0,0 2 0,-2 1 0,3-3 0,-3 1 0,1-1 0,4-13 0,-1-6 0,2 0 0,-3 0 0,1-2 0,2-34 0,-2 9 0,-3-1 0,1 0 0,-3 0 0,-1 0 0,-1 0 0,-3 1 0,0-1 0,-15-99 0,19 153 0,-13-61 0,12 61 0,1-1 0,-1-2 0,1 3 0,-1-1 0,-1 0 0,1 1 0,1-2 0,-3 2 0,1 0 0,2 0 0,-1-1 0,-1 1 0,1 0 0,-1 0 0,-2-2 0,4 4 0,-1 0 0,1 0 0,-1 0 0,0 0 0,0 0 0,1 0 0,0 0 0,0 2 0,-1-2 0,0 0 0,1 0 0,-1 0 0,0 0 0,1 0 0,0 2 0,-1-2 0,1 2 0,-2-2 0,1 1 0,1-1 0,0 1 0,0-1 0,-1 2 0,1-1 0,-1-1 0,1 2 0,0-1 0,0-1 0,0 1 0,0 1 0,-1-2 0,1 1 0,0 0 0,0 1 0,0 0 0,-8 46 0,8-45 0,-3 31 0,1 1 0,1 0 0,0 0 0,1 0 0,1 0 0,1-1 0,0 1 0,3-2 0,11 68 0,-14-84 0,3-2 0,-2 2 0,1-1 0,2-1 0,-2-1 0,2 0 0,1 0 0,-1 0 0,0-2 0,2 1 0,-1-1 0,0-1 0,1-1 0,1 1 0,-2-1 0,2-2 0,0 0 0,0-1 0,-1 1 0,2-4 0,0 2 0,9 3 0,-8-6 0,0 0 0,0-2 0,0-1 0,1 0 0,-1-1 0,0-1 0,0-1 0,1-1 0,-2 0 0,19-13 0,-23 14 0,-1-1 0,0 1 0,-1-1 0,1-2 0,-1 2 0,1-2 0,-2 1 0,2-1 0,-1 0 0,1 0 0,-3-1 0,2 0 0,-1 0 0,1 0 0,-2-2 0,1 1 0,-1 1 0,1-1 0,-1-1 0,0-1 0,-1 2 0,0-1 0,1-1 0,-1-15 0,1 20 0,-2 0 0,0 0 0,0-1 0,0 2 0,-2-2 0,2 1 0,0 1 0,-1-2 0,0 2 0,0 0 0,1-2 0,-1 2 0,0 0 0,-1 0 0,1-2 0,-1 3 0,0-1 0,0 0 0,0 0 0,0 1 0,1-1 0,-3 1 0,3-1 0,-1 1 0,0 0 0,-1 0 0,1 1 0,-2 0 0,2 0 0,-6-2 0,5 2 0,-1 0 0,0 1 0,-1 1 0,2-2 0,-1 2 0,-1 0 0,0 2 0,1-2 0,1 1 0,-3 1 0,3-1 0,-1 0 0,0 3 0,0-2 0,0 0 0,0 2 0,1 0 0,0 0 0,-2-1 0,-1 7 0,1-4 0,2-1 0,-1 2 0,1-2 0,0 3 0,0-2 0,1 1 0,-2 1 0,2 0 0,0-1 0,0 1 0,1 0 0,-1 0 0,0 0 0,0 1 0,1-1 0,1 0 0,-1 1 0,1 1 0,0 11 0,0-15 0,1 2 0,-1-2 0,1 1 0,0 1 0,0-2 0,1 2 0,0-1 0,-1-1 0,1 0 0,0 1 0,0-1 0,1 0 0,-1-1 0,1 0 0,-1 1 0,2 0 0,-2-2 0,1 1 0,0-1 0,1 1 0,0-1 0,-1-1 0,6 6 0,-5-5 0,2-2 0,-2 2 0,1 0 0,0-2 0,0 0 0,0-1 0,-1 0 0,2 1 0,-2-2 0,3 1 0,-3-2 0,2 1 0,8-4 0,-11 2 0,1 0 0,0-2 0,0 2 0,0-2 0,-1 0 0,0 1 0,1-2 0,0 0 0,-2 1 0,1-2 0,1 2 0,-2-2 0,1 1 0,-1-1 0,1-1 0,-1 2 0,3-11 0,-1 3 0,-1 0 0,-1 0 0,2 0 0,-3 0 0,3-2 0,-3 1 0,1 0 0,-1 1 0,-1-2 0,0 1 0,0-18 0,-3 14 0,-2 30 0,0 32 0,5-36 0,0 1 0,0-1 0,0 0 0,1 1 0,0-1 0,0 0 0,1 0 0,-2 0 0,3 1 0,-1-3 0,-1 3 0,1-2 0,0 0 0,5 10 0,-5-13 0,1 0 0,-2 0 0,3 0 0,-2-1 0,0 1 0,0-1 0,3 0 0,-4 0 0,2 0 0,0-1 0,1 0 0,-1 0 0,-1 0 0,1 0 0,1-1 0,-1-1 0,0 1 0,1-1 0,-1 0 0,-1 0 0,3 0 0,3-1 0,1-4 0,1 1 0,-1 0 0,1-2 0,-2 0 0,0 0 0,1-3 0,0 1 0,-1 0 0,11-18 0,-12 18 0,-1-2 0,1 1 0,-2-1 0,0-2 0,1 1 0,-1-1 0,-1 1 0,1-2 0,-1 0 0,0 0 0,4-16 0,-7 25 0,-1 0 0,0 0 0,0-1 0,0 1 0,0 0 0,0-2 0,0 2 0,0 0 0,0 0 0,0 0 0,-2-7 0,2 11 0,-1-2 0,1 2 0,0-2 0,0 2 0,0-2 0,0 2 0,0-2 0,-2 1 0,2 0 0,-1 1 0,1-2 0,-1 2 0,1-1 0,-1-1 0,1 2 0,0-1 0,-1 1 0,1-1 0,0 1 0,-1 0 0,0-2 0,1 2 0,-1 0 0,0-1 0,1 1 0,-1 0 0,1 0 0,0 0 0,-2-1 0,1 1 0,0 0 0,1 0 0,0 0 0,-1 0 0,0 1 0,0-1 0,0 0 0,1 0 0,-1 0 0,1 1 0,0-1 0,0 0 0,-1 2 0,0-2 0,0 1 0,-2 2 0,2 0 0,-1-1 0,1 2 0,-1-2 0,0 0 0,2 3 0,-2-2 0,0 1 0,1-1 0,1 1 0,-1 0 0,-1-1 0,2 2 0,0-1 0,-1 0 0,1 0 0,0-1 0,0 1 0,-1 6 0,1-1 0,0 0 0,0 0 0,0 0 0,1-1 0,-1 2 0,1-1 0,2 16 0,-3-22 0,1-1 0,0 3 0,0-3 0,1 2 0,-2-2 0,0 1 0,1 0 0,0-2 0,1 2 0,-1 0 0,0 0 0,0-2 0,0 2 0,0-2 0,2 1 0,-2 0 0,0 0 0,0 0 0,1-2 0,0 2 0,0 0 0,0-2 0,-1 0 0,1 2 0,0-2 0,-1 2 0,1-2 0,1 0 0,-2 0 0,1 0 0,-1 0 0,1 0 0,0 0 0,-1-2 0,2 2 0,-2-2 0,1 2 0,0 0 0,-1-2 0,0 0 0,3 0 0,3-5 0,0 0 0,-1-2 0,1 3 0,-2-5 0,2 3 0,-1-2 0,-1 1 0,6-14 0,-3 5 0,-2 0 0,1-1 0,-1 0 0,0-1 0,-1-1 0,0 2 0,-2-2 0,0 0 0,1-1 0,1-32 0,26 657 0,-6-203 0,-21-295 0,7 226 0,-10-278 0,-3 0 0,1 2 0,-14 101 0,13-140 0,-2-1 0,1-1 0,0 1 0,-2 0 0,1-1 0,-2 0 0,2-1 0,-1-1 0,-12 22 0,15-30 0,1-2 0,-1 2 0,1 0 0,-2-2 0,0 1 0,2-2 0,-2 3 0,1-2 0,-1 0 0,2-1 0,-3 2 0,3-2 0,-3 1 0,2-2 0,0 1 0,0 0 0,-1-1 0,0 0 0,1 0 0,-1 0 0,1 0 0,-2 0 0,2-1 0,0 1 0,-1-1 0,1-1 0,-1 1 0,1 0 0,-1-2 0,1 1 0,0 0 0,-1 0 0,1-1 0,0 0 0,0 1 0,0-1 0,-3-6 0,-1-6 0,-2 0 0,1-1 0,1-1 0,-1-1 0,2 1 0,-1-1 0,2 0 0,-1-2 0,1 1 0,1 1 0,-3-32 0,1 13 0,3-1 0,-1 0 0,2 0 0,1 0 0,4-50 0,-1 46-273,2 0 0,2 0 0,0 0 0,17-66 0,7-7-6553</inkml:trace>
  <inkml:trace contextRef="#ctx0" brushRef="#br0" timeOffset="3">2940 1531 24575,'-4'-4'0,"-6"-3"0,8-7 0,12-3 0,18-16 0,20-13 0,17-5 0,4 3 0,-6 4 0,-10 5 0,-12 3 0,-15 8-8191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289 1557 24575,'0'-10'0,"0"-1"0,-1 2 0,0-3 0,1 3 0,-1-1 0,-1 1 0,0-1 0,1 0 0,-3 0 0,2 2 0,-1-1 0,1 0 0,-10-15 0,9 17 0,-1 1 0,1 1 0,-2 0 0,1 0 0,0 0 0,0 0 0,0 1 0,-2 1 0,3-1 0,-2 1 0,0 1 0,0 0 0,-1-1 0,2 1 0,-2 0 0,1 1 0,-9 0 0,8 2 0,0-1 0,-1 1 0,2 1 0,-2 0 0,0 1 0,2 0 0,-2 0 0,2 0 0,-1 2 0,1-1 0,-1 1 0,1 2 0,0-3 0,-1 2 0,2 1 0,-1-1 0,0 1 0,1 1 0,0-1 0,1 0 0,-7 14 0,4-5 0,1-2 0,-2 3 0,3-1 0,0 0 0,-1 1 0,3-1 0,-2 2 0,1-1 0,1 2 0,1-2 0,-1 20 0,2-32 0,0 0 0,0 2 0,1-2 0,-1-1 0,1 2 0,-1-1 0,1 0 0,0 0 0,0 0 0,1 0 0,0-1 0,0 1 0,-1-1 0,0 1 0,2-1 0,1 4 0,-2-5 0,1-1 0,-2 2 0,2-2 0,-1 0 0,1 1 0,-2-2 0,2 1 0,0 0 0,0-2 0,-1 2 0,1-1 0,0 1 0,0-2 0,-1 0 0,0 0 0,3 0 0,-4 0 0,2 0 0,0 0 0,3-2 0,4-1 0,1-1 0,-2-1 0,0-2 0,2 2 0,-1-2 0,-1-2 0,1 2 0,-2-1 0,1-3 0,0 1 0,0-1 0,6-13 0,-5 8 0,0-1 0,-1 0 0,-1-2 0,1 1 0,-1-1 0,0-1 0,-2-1 0,7-29 0,-5 18 0,-3-2 0,0 2 0,-2-1 0,-1-1 0,0 0 0,0-1 0,-2 2 0,-2 0 0,0-1 0,-1 0 0,-9-55 0,11 83 0,-1-2 0,-1 2 0,1 0 0,1 0 0,-2-1 0,1 1 0,-2 0 0,2 1 0,-1-1 0,0 1 0,-1 0 0,-3-7 0,4 12 0,2 0 0,0-2 0,0 1 0,-1 0 0,2 1 0,-1-1 0,0 1 0,-1-2 0,0 2 0,1 0 0,0 0 0,0 0 0,-1 0 0,2 0 0,-2 0 0,0 0 0,2 0 0,-5 2 0,4-1 0,0 0 0,-1 2 0,1-3 0,-1 2 0,-1 0 0,3-1 0,-2 2 0,1 0 0,-1-1 0,1 1 0,0-1 0,0 1 0,-1-1 0,2 1 0,-1-1 0,-1 4 0,-1 9 0,0 0 0,-1 1 0,3 0 0,-2-1 0,2 1 0,0 0 0,1 1 0,0-1 0,0 0 0,0 0 0,4 22 0,1 5 0,1-1 0,2 0 0,12 43 0,-11-46 0,2 0 0,1-1 0,21 44 0,-25-64 0,0-1 0,2 0 0,-2-3 0,2 2 0,0-2 0,-1 0 0,3-2 0,15 18 0,-21-26-59,-1 0 0,0 0-1,0-1 1,2-1-1,-3 1 1,0-2 0,3 2-1,-1-2 1,-1-1 0,0 1-1,1-1 1,1 0 0,-2-1-1,0 0 1,1-1-1,-1 1 1,1-1 0,-2 0-1,3-3 1,-3 3 0,2-1-1,7-9 1,23-24-6767</inkml:trace>
  <inkml:trace contextRef="#ctx0" brushRef="#br0" timeOffset="1">810 1246 24575,'0'-5'0,"0"2"0,-1-3 0,1 3 0,-1-2 0,0 1 0,1-1 0,-2 1 0,1 1 0,0-2 0,1 1 0,-3 0 0,1 0 0,1 0 0,-1 1 0,0 1 0,1-2 0,-3 1 0,3-1 0,-1 2 0,0-1 0,-1 1 0,1-1 0,-1 1 0,1-1 0,-1 3 0,0-2 0,-4-2 0,2 2 0,1 1 0,1-2 0,-2 2 0,2 1 0,-1-1 0,-1 1 0,1 0 0,-1 0 0,1 0 0,0 1 0,-1 0 0,2 0 0,-1 1 0,0 0 0,0-1 0,0 2 0,-1 0 0,-2 4 0,-1 3 0,0-1 0,2 3 0,-2-1 0,1 1 0,2 0 0,-2 0 0,1 0 0,-4 21 0,2-12 0,2 2 0,0 0 0,0 0 0,-4 38 0,9-52 0,1-1 0,-2 1 0,2 0 0,0 0 0,0-1 0,2 1 0,-2 0 0,1-1 0,0 1 0,4 15 0,-5-20 0,1-2 0,-1 1 0,1-1 0,1 2 0,-1-1 0,0-1 0,0 1 0,0-1 0,1-1 0,-1 1 0,0 1 0,0-2 0,2 2 0,-2-2 0,0 2 0,2-2 0,-2 0 0,1 0 0,-1 1 0,2-2 0,-1 2 0,-1-2 0,1 1 0,0-1 0,1 0 0,-1 2 0,-2-2 0,3 0 0,-2 0 0,2 0 0,-2-2 0,2 2 0,-1-1 0,2-1 0,4-2 0,0-1 0,-1 0 0,0 0 0,1-2 0,-2 0 0,2 0 0,-2 0 0,1-2 0,0 1 0,-2-2 0,0 2 0,1-3 0,7-17 0,4-10 0,-3-1 0,18-65 0,-19 55 0,-2 1 0,-1-1 0,9-95 0,-11 54 0,1-118 0,-8 187 0,-1 0 0,-1 1 0,1-1 0,-4 1 0,-2-32 0,6 49 0,0 2 0,-1-2 0,1 2 0,0-1 0,-1 0 0,0 0 0,1 0 0,-1 0 0,1 1 0,-2-1 0,1 2 0,0-3 0,-1-1 0,2 4 0,-1 0 0,1 0 0,-1 0 0,1-1 0,-1 1 0,0 0 0,1 0 0,0 0 0,0 0 0,-1 0 0,1 0 0,-2 0 0,2 0 0,0 0 0,0 0 0,-1 0 0,0 1 0,1-1 0,0 0 0,0 0 0,-1 0 0,1 2 0,-1-2 0,1 0 0,0 0 0,-2 2 0,2 1 0,-3 0 0,0 1 0,1 1 0,1-1 0,0-1 0,-1 2 0,0 0 0,1-1 0,-2 10 0,-3 14 0,2 0 0,1 3 0,1-1 0,1-1 0,0 1 0,1 0 0,1 0 0,4 54 0,2-36 0,0 0 0,1-2 0,2 1 0,23 75 0,-27-105 24,-1 0 0,3 0 0,-2 0 0,11 14 0,-15-27-89,-1 0 1,1-1-1,0 0 1,1 0-1,-1 0 1,0 1-1,0-2 0,0 1 1,1-1-1,0-1 1,-1 2-1,1 0 1,0-2-1,0 0 0,-1 0 1,1 1-1,-1-2 1,2 0-1,-2 2 1,1-2-1,1 0 1,3-2-1,9-9-6761</inkml:trace>
  <inkml:trace contextRef="#ctx0" brushRef="#br0" timeOffset="2">1253 983 24575,'-1'-3'0,"1"2"0,0-2 0,0 1 0,0 1 0,-1-2 0,1 2 0,0-2 0,-1 2 0,0-2 0,0 3 0,1-3 0,-1 2 0,-1 0 0,1-2 0,0 2 0,1 0 0,-1-1 0,0 1 0,0 0 0,-1 0 0,2-1 0,-2 1 0,2 1 0,-3-1 0,2-1 0,-2 1 0,-1 0 0,-1-2 0,3 3 0,-2-2 0,-1 1 0,2 1 0,-1-1 0,-7 2 0,4 0 0,2 1 0,-1 1 0,1-1 0,-1 2 0,1 0 0,-1 0 0,1 0 0,-1 1 0,2-1 0,-1 3 0,0-2 0,1 0 0,-1 2 0,2-1 0,-2 2 0,1-1 0,1 0 0,1 1 0,-2 0 0,-2 9 0,0 2 0,1 0 0,-2 1 0,4 0 0,-1 0 0,1 0 0,-1 1 0,1 36 0,3-52 0,-1 2 0,1-2 0,1 0 0,-1 2 0,1-1 0,0-1 0,-1 1 0,1 0 0,-1-1 0,2 0 0,0 0 0,-1 1 0,4 7 0,-4-11 0,1 1 0,-1 0 0,0-1 0,2-1 0,-2 1 0,1 1 0,-1-1 0,1 0 0,0-1 0,0 0 0,-2 1 0,4 0 0,-3-2 0,2 1 0,-2 1 0,1-1 0,2-1 0,-4 0 0,3 1 0,-1-1 0,0 0 0,1 0 0,-1-1 0,2 0 0,3-1 0,-1-1 0,0 0 0,0 0 0,0-2 0,-1 1 0,1-1 0,-1 0 0,1 0 0,0-2 0,-1 1 0,-1 0 0,2-1 0,-3 0 0,8-12 0,0-5 0,1-1 0,-2 0 0,14-46 0,-14 34 0,-1 1 0,-2-1 0,0-2 0,6-60 0,-8 33 0,0-124 0,-5 179 0,0 1 0,0 0 0,0-1 0,-1 0 0,-1 2 0,0-1 0,0-1 0,1 1 0,-1 1 0,-1-1 0,-3-9 0,5 19 0,1-2 0,-1 0 0,1 2 0,-1-2 0,1 1 0,-1 0 0,1 0 0,0-1 0,-1 1 0,1 1 0,-1-1 0,-1 0 0,1 1 0,1-2 0,-1 1 0,0 1 0,1-1 0,-1 1 0,0 0 0,0-1 0,0 1 0,0 0 0,0 0 0,0 0 0,1 0 0,0 0 0,-2 0 0,1 0 0,-1 0 0,2 0 0,-1 0 0,0 0 0,0 1 0,1-1 0,-1 1 0,1-1 0,-1 1 0,0-1 0,-1 2 0,1-2 0,0 1 0,1 0 0,-1 2 0,-2 2 0,-1-1 0,2 1 0,-2 2 0,3-1 0,-2-1 0,0 1 0,-1 13 0,-1 1 0,1 1 0,1 0 0,1 0 0,-1 0 0,1 1 0,1-1 0,1 2 0,0-2 0,6 41 0,-4-34 0,2-2 0,0-1 0,1 1 0,1 1 0,-1-2 0,3 0 0,14 38 0,-16-49 10,0-2 0,1 0 0,0 1 0,2-1 0,-2-2 0,1 2 0,0-3 0,1 0 0,-1 0 0,2-1 0,17 13 0,-9-12-258,1 1 1,-1-3-1,1 2 1,1-5-1,25 4 1,18-3-6579</inkml:trace>
  <inkml:trace contextRef="#ctx0" brushRef="#br0" timeOffset="3">1803 959 24575,'0'-4'0,"0"2"0,0-2 0,0 0 0,0 2 0,-1-2 0,1 1 0,-1 0 0,1 1 0,-1-2 0,0 1 0,0-1 0,0 2 0,0-1 0,0 1 0,0-1 0,0 0 0,-2 0 0,1 2 0,1-1 0,0-1 0,-1 1 0,1 0 0,-2 0 0,1 1 0,1-1 0,-2 1 0,2 0 0,0 0 0,-3-1 0,2 1 0,1 1 0,-1-1 0,-2 1 0,-1-2 0,2 2 0,1 0 0,-3 0 0,2 0 0,0 0 0,-1 2 0,0-2 0,2 1 0,-1 0 0,-1 2 0,0-2 0,1 2 0,0-1 0,0 1 0,1-1 0,-2 1 0,1 0 0,1 0 0,-1 0 0,-3 6 0,1 4 0,-2-1 0,2 2 0,-1-1 0,2 1 0,-7 26 0,10-34 0,-1 0 0,1 1 0,1 0 0,-1-1 0,-1 2 0,1-2 0,0 1 0,1 1 0,0-2 0,0 2 0,1-3 0,-1 3 0,1-2 0,2 1 0,-1 10 0,-1-15 0,0 1 0,-1-1 0,1 1 0,1 0 0,-1-1 0,-1 1 0,1-1 0,2 0 0,-1-1 0,-1 2 0,0-2 0,0 2 0,1-2 0,1 0 0,-2 1 0,0-1 0,1 0 0,2 2 0,1-3 0,-2 2 0,1-2 0,0 1 0,0-1 0,-2 0 0,3-1 0,-1 1 0,-1-2 0,5 0 0,2-3 0,-2 0 0,1 0 0,0-1 0,1 0 0,-2-2 0,15-15 0,-13 9 0,1-1 0,-2 0 0,0-1 0,1 0 0,-1-1 0,0-1 0,6-27 0,-4 15 0,-1-3 0,-1 1 0,10-69 0,-8 16 0,-3 0 0,3-158 0,-9 201 0,-2 2 0,-2-3 0,-1 2 0,-8-69 0,8 101 0,2 1 0,0-1 0,-2 1 0,1 0 0,-7-14 0,9 21 0,0 0 0,0-1 0,-1 1 0,0 0 0,0 1 0,1-1 0,0-1 0,-1 1 0,0 1 0,-1-1 0,1 0 0,1 1 0,0-2 0,-1 2 0,0 0 0,0 0 0,0 0 0,0-2 0,1 2 0,-1 0 0,0 0 0,1 0 0,-1 0 0,-1 0 0,1 0 0,0 0 0,0 0 0,0 0 0,1 0 0,0 2 0,-1-2 0,0 0 0,0 0 0,0 0 0,1 2 0,-1-2 0,-1 1 0,1 0 0,0-1 0,1 1 0,-1 1 0,1-1 0,-1 0 0,-3 7 0,0-1 0,-1 0 0,3 2 0,-3-1 0,3 0 0,-1 1 0,1 0 0,-1 1 0,-2 14 0,-13 101 0,17-114 0,-5 50 0,1 0 0,2 0 0,1 0 0,7 94 0,-2-111 0,2 1 0,1 0 0,0-1 0,3-1 0,0 0 0,25 77 0,-27-100-50,0-2-1,2 1 1,-2-1-1,2 0 0,0-1 1,2-1-1,-1 1 1,1-3-1,0 0 1,0 0-1,1-2 0,1-1 1,-2 1-1,2-2 1,1-1-1,-1 0 1,1-2-1,-1 0 0,1-2 1,0 0-1,0-1 1,1-2-1,-1-1 1,0 1-1,0-2 1,17-5-1,50-15-6775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170 1743 24575,'3'-6'0,"2"0"0,-2 0 0,-1-1 0,1-1 0,-2 2 0,3-2 0,-3 2 0,1-1 0,1-11 0,-2 11 0,0 2 0,1-1 0,-2-1 0,1 2 0,-1 0 0,0-2 0,0 1 0,0 0 0,-1 0 0,1 0 0,-2 0 0,-1-5 0,3 9 0,0 1 0,-1-2 0,0 2 0,0-1 0,1 1 0,-1 0 0,1 1 0,-1-2 0,0 1 0,-1 0 0,1 0 0,1 1 0,-1-2 0,0 1 0,0 1 0,0-1 0,0 1 0,0-2 0,0 2 0,0 0 0,0 0 0,-1-1 0,-1 1 0,0 0 0,0 0 0,-1 1 0,0-1 0,1 2 0,0-1 0,-1 0 0,-5 3 0,-3 4 0,0 0 0,1 0 0,-13 14 0,17-14 0,-1 0 0,1-1 0,1 1 0,-1 1 0,0 0 0,2 2 0,-1-1 0,1 0 0,-7 16 0,10-21 0,1 1 0,-1 0 0,0 0 0,1 0 0,1-2 0,-1 3 0,1-1 0,-1-1 0,1 2 0,0-1 0,0 1 0,0-2 0,1 1 0,0-1 0,-1 1 0,1 0 0,0-1 0,2 2 0,-3-2 0,2 0 0,0 0 0,3 7 0,2 0 0,0 1 0,-1-1 0,3-1 0,-1 1 0,-1-3 0,2 1 0,18 18 0,73 45 0,-78-58 0,74 46 0,64 47 0,-151-100 0,0-1 0,1 2 0,15 21 0,-23-30 0,0 3 0,-1-1 0,0-2 0,0 4 0,1-4 0,-2 3 0,1-1 0,0 0 0,0 1 0,0-2 0,-1 2 0,1-1 0,-1 1 0,2-1 0,-2 0 0,1 1 0,-1-1 0,0 1 0,1-2 0,-1 2 0,0-1 0,0 1 0,0-1 0,-1 1 0,1-1 0,0 1 0,-1 0 0,-1-1 0,2 1 0,-1-1 0,1 0 0,-1 0 0,-1 3 0,-1 1 0,0-1 0,-2 0 0,1 0 0,-1-1 0,1 1 0,0-1 0,-1 1 0,0-2 0,-1 1 0,2 0 0,-2-1 0,-6 1 0,-12 4 0,-36 8 0,51-14 0,-131 19 0,121-19 0,4-1 0,-3-2 0,0-2 0,2 1 0,-2-2 0,-17-8 0,30 10-80,1 0 0,1 0-1,-1 0 1,1 0 0,0-3-1,-1 3 1,1-1 0,-1 0-1,2 0 1,-2 1 0,2-2 0,-1-1-1,1 1 1,-1-1 0,1 0-1,-3-9 1,-7-25-6746</inkml:trace>
  <inkml:trace contextRef="#ctx0" brushRef="#br0" timeOffset="1">631 1937 24575,'-1'-37'0,"-2"30"0,0 25 0,-9 56 0,7-56 0,1 0 0,-1-1 0,4 2 0,-2-1 0,2 0 0,1 2 0,0 17 0,0-32 0,0-1 0,0-1 0,1 3 0,-1-3 0,1 1 0,0 0 0,0 0 0,0 0 0,1 0 0,-1-2 0,1 1 0,0 1 0,0 0 0,-1-2 0,1 1 0,0 1 0,0-1 0,1-1 0,-2 1 0,2-1 0,-1 1 0,1-1 0,-1 0 0,1 0 0,1 0 0,-2-1 0,1 0 0,-1 0 0,0 1 0,2-1 0,-2-1 0,1 1 0,-1-1 0,3 0 0,2-1 0,3 0 0,0-1 0,0 0 0,-1-1 0,1-1 0,-2-1 0,2 1 0,0-2 0,-1 1 0,12-11 0,-8 2 0,1 0 0,-1-2 0,1 1 0,-3-3 0,2 0 0,-3 1 0,2-2 0,-4 0 0,1-2 0,1 1 0,-2-2 0,-1 1 0,0-1 0,-2 1 0,1-2 0,-2-1 0,0 1 0,-1 0 0,-1-1 0,-1 1 0,0-27 0,-6 5 0,5 45 0,0-1 0,0 1 0,0-2 0,0 2 0,0-1 0,-1 1 0,1-1 0,0 1 0,0-1 0,0 1 0,-1-2 0,1 2 0,0 0 0,0-1 0,0 1 0,0-1 0,-2 1 0,2 0 0,0-2 0,-1 2 0,1 0 0,-1-1 0,1 1 0,-1 0 0,1 0 0,0-1 0,0 1 0,0 0 0,-1 0 0,1 0 0,-1 0 0,0 0 0,1 0 0,-1 0 0,1 0 0,-1 0 0,1 0 0,0 0 0,0 0 0,-1 0 0,1 0 0,-1 0 0,1 0 0,-2 1 0,2-1 0,-1 0 0,1 0 0,0 1 0,0-1 0,0 0 0,-1 2 0,1-2 0,0 0 0,-1 1 0,1-1 0,0 0 0,-2 1 0,2 1 0,-6 7 0,3 0 0,-1-1 0,0 2 0,1 0 0,0-1 0,0 2 0,0-1 0,0 0 0,2 1 0,-3 20 0,3-10 0,-1 1 0,1 1 0,1-1 0,3 31 0,-2-44 0,0-2 0,1 1 0,-1 0 0,1 0 0,0 0 0,3-1 0,-3 2 0,1-2 0,1 0 0,-2 0 0,1-1 0,1 0 0,1 1 0,0-1 0,0-1 0,-1 2 0,0-2 0,1 0 0,0-1 0,1 1 0,-1-2 0,1 0 0,-1 0 0,2 0 0,-2 0 0,1-1 0,8 2 0,-5-3 0,-3 2 0,2-3 0,0 1 0,-2-1 0,2 0 0,-2-1 0,3 0 0,-2-1 0,1 0 0,-1-1 0,0 1 0,-1-2 0,2 0 0,-1 0 0,-1 0 0,0-1 0,0-1 0,2 0 0,-3 0 0,1-1 0,-1 1 0,7-12 0,-5 5 0,0-3 0,-2 1 0,2 0 0,-2-2 0,-1 0 0,0 0 0,0 0 0,-2 1 0,1-2 0,-1 1 0,0-2 0,-1 1 0,-1 1 0,0 0 0,-1-1 0,-5-28 0,6 44 0,0 2 0,0-1 0,0-1 0,0 2 0,0-1 0,0 1 0,0-1 0,0 1 0,0-2 0,0 2 0,0-1 0,0 1 0,0-1 0,-1 1 0,1-1 0,0 1 0,0-2 0,-1 2 0,1 0 0,0-1 0,0 1 0,-1-1 0,1 1 0,0 0 0,0-2 0,0 2 0,-1 0 0,0-1 0,-3 20 0,-1 39 0,4-34 0,-1-4 0,2 2 0,0-2 0,0 2 0,0-2 0,2 0 0,0 2 0,8 34 0,-10-55 0,0 1 0,0-2 0,0 2 0,0 0 0,1-2 0,-1 0 0,1 2 0,-1-1 0,1 1 0,-1-2 0,2 0 0,-2 2 0,0 0 0,1-1 0,0-1 0,1 1 0,-2-1 0,0 1 0,1-1 0,0 2 0,0-2 0,0 0 0,0 0 0,-1 0 0,2 2 0,0-2 0,-1 0 0,0-2 0,0 2 0,1 0 0,-2 0 0,1-2 0,1 1 0,0 1 0,-1-1 0,-1 0 0,1-1 0,0 0 0,1 2 0,-2-2 0,2 1 0,0-3 0,4-10 0,1 1 0,-2 0 0,6-20 0,-9 29 0,15-49 0,-6 18 0,1 1 0,24-52 0,-35 84 0,0 0 0,-1 0 0,1-1 0,1 1 0,-1 0 0,0 0 0,1 1 0,0-1 0,-1 0 0,1 0 0,-1 1 0,0 0 0,1 0 0,1 0 0,-2 0 0,4 0 0,-4 1 0,1 0 0,-2 0 0,3 0 0,-2 0 0,0 0 0,0 1 0,1-1 0,-1 0 0,0 1 0,0-1 0,1 1 0,0 0 0,-2-1 0,1 1 0,1 0 0,-1 1 0,2 2 0,3 5 0,0 1 0,0 1 0,-1-2 0,2 1 0,3 20 0,-1-10 0,2 5 0,1 0 0,1-1 0,-1 0 0,2-2 0,0 0 0,3-1 0,-2-2 0,31 29 0,-36-39 0,1 0 0,0-2 0,1 1 0,-1-2 0,2 0 0,-2-1 0,1-1 0,0 0 0,0-2 0,0 1 0,0-2 0,2 1 0,-2-2 0,0-2 0,1 1 0,15-5 0,-22 4-62,-1 1 0,1-1 0,-1 0 0,0-1 0,0 1 0,1-2 0,-1 1 0,-1-1 0,1-1 0,-1 1 0,0-1 0,1 0-1,-2 0 1,2 0 0,-2 0 0,0-1 0,1 0 0,-1-1 0,1 0 0,-2 1 0,4-10 0,4-29-6764</inkml:trace>
  <inkml:trace contextRef="#ctx0" brushRef="#br0" timeOffset="2">2154 1841 24575,'8'-9'0,"11"-3"0,18-5 0,15-3 0,18-5 0,12 1 0,5 6 0,-5-3 0,-13 2 0,-24 4 0,-21 4 0</inkml:trace>
  <inkml:trace contextRef="#ctx0" brushRef="#br0" timeOffset="3">3342 1133 24575,'1'-6'0,"-1"-1"0,-1 1 0,1-1 0,0 1 0,-1-1 0,0 0 0,0 2 0,0-1 0,-1 0 0,-1 0 0,1 1 0,0-2 0,-2-2 0,3 5 0,-2 2 0,1 1 0,2-1 0,-2-2 0,0 3 0,1 1 0,-2-1 0,1-2 0,0 2 0,0-1 0,0 2 0,0-1 0,-1 0 0,1 1 0,0-1 0,0 1 0,0 0 0,-1 0 0,2-2 0,-2 4 0,1-2 0,-2 0 0,3 0 0,-1 1 0,0 0 0,0-1 0,0 1 0,-4 2 0,2 1 0,-2-1 0,1 1 0,0 1 0,0-1 0,1 1 0,-1 0 0,0 1 0,0 0 0,2 0 0,-1 0 0,0 0 0,1 1 0,-5 11 0,-2 4 0,4-1 0,-2 0 0,-5 32 0,7-27 0,0 2 0,-1-2 0,4 3 0,1-2 0,-2 47 0,4-67 0,0-1 0,0 0 0,0 3 0,1-3 0,-1-1 0,2 1 0,-1 1 0,0 0 0,0-1 0,1 1 0,1-1 0,-1-1 0,1 2 0,-1-3 0,2 1 0,-2 1 0,1 0 0,0-3 0,-1 3 0,3-1 0,-2-1 0,2-1 0,-1 1 0,-1 0 0,2-1 0,-1 1 0,0-3 0,1 2 0,6 2 0,1-1 0,1 0 0,-1 0 0,1-1 0,0-3 0,0 0 0,0 0 0,0 0 0,1-2 0,-1-1 0,-2 1 0,3-2 0,-2-1 0,0 0 0,2 0 0,-2-4 0,-1 2 0,0-1 0,1-1 0,-1-1 0,0 0 0,-2-1 0,1-1 0,0-1 0,-1 0 0,-1 1 0,0-2 0,1 0 0,-2-2 0,0 2 0,0-2 0,5-21 0,-4 10 0,-3-3 0,1 2 0,-3 0 0,0-1 0,-1 1 0,0-3 0,-2 2 0,0-2 0,-6-49 0,-1 35 0,1 0 0,-4 0 0,1 1 0,-2 1 0,-23-58 0,31 89 0,0 0 0,-2 0 0,1 3 0,0-1 0,-3-1 0,3 2 0,-2-1 0,0 1 0,-12-13 0,17 22 0,0 0 0,1-1 0,-1 1 0,1 0 0,0-2 0,-1 2 0,0 0 0,-1 0 0,2 0 0,-1 0 0,1-1 0,-1 1 0,1 0 0,-1 0 0,0 1 0,0-1 0,1 0 0,-1 0 0,0 0 0,0 0 0,1 2 0,-1-2 0,-1 0 0,2 1 0,0-1 0,-1 0 0,0 1 0,1-1 0,-1 1 0,1-1 0,-1 2 0,1-2 0,0 1 0,0 0 0,-1-1 0,1 1 0,-1 0 0,1-1 0,-1 3 0,-8 40 0,7-22 5,1 2 1,0-3-1,1 4 0,1-2 0,0-2 0,1 2 1,0 1-1,1-4 0,1 3 0,0-2 1,2 0-1,1 2 0,-1-3 0,1 0 0,0 1 1,2-3-1,0 1 0,0 0 0,1-2 0,1 0 1,1 0-1,14 16 0,-10-13-92,2-1-1,-2-2 1,3-1 0,0-1-1,0-1 1,0-1 0,0 0-1,1-2 1,1-1-1,-1-1 1,0-3 0,2-1-1,-1 0 1,1-1 0,-2-2-1,26-3 1,22-12-6739</inkml:trace>
  <inkml:trace contextRef="#ctx0" brushRef="#br0" timeOffset="4">4229 1059 24575,'0'-7'0,"0"1"0,0-1 0,-1 2 0,0 0 0,0 0 0,-1-2 0,2 2 0,-3-1 0,1 1 0,1-1 0,-2 1 0,1 0 0,-1 0 0,0 0 0,1 1 0,-1 0 0,0-1 0,0 1 0,-1-1 0,0 3 0,1-2 0,0 1 0,-2 0 0,1 0 0,-4-2 0,1 1 0,1 1 0,0-1 0,-1 1 0,-1 1 0,2 1 0,-2-1 0,2 1 0,-2 1 0,1 0 0,0 0 0,0 1 0,-1-1 0,2 3 0,-13 2 0,8 2 0,-1 1 0,2-1 0,0 2 0,-1 0 0,3 2 0,-2-1 0,0 1 0,2 1 0,0-1 0,-11 20 0,6-9 0,3 1 0,-1 0 0,0 1 0,2 0 0,-11 40 0,19-61 0,0-1 0,1 1 0,-1 1 0,1-2 0,-1 1 0,1 1 0,-1-2 0,1 1 0,0 0 0,0-1 0,0 2 0,0-1 0,0 1 0,0-2 0,1 2 0,-1-1 0,1-1 0,0 2 0,-1-1 0,1-1 0,0 2 0,1-1 0,-1-1 0,0 1 0,2 2 0,1 0 0,0-3 0,-1 0 0,0 3 0,2-3 0,-2-1 0,0 2 0,2-2 0,-1 1 0,0 0 0,0-1 0,0-1 0,-1 1 0,8-1 0,6 2 0,1-2 0,1-2 0,-3 0 0,2 0 0,0-4 0,-1 1 0,0-2 0,0 1 0,29-21 0,-35 19 0,-1 0 0,0 0 0,0 0 0,0-2 0,-3 0 0,3-1 0,-1 1 0,-1-2 0,-1 0 0,1-1 0,-1 0 0,-1 1 0,1-2 0,-2 0 0,0 0 0,4-18 0,-1-4 0,-2 3 0,-2-3 0,-1 1 0,-1 0 0,-2 0 0,0-1 0,0 0 0,-3 0 0,1 1 0,-2 0 0,-2 1 0,-10-38 0,13 61 0,2 2 0,-2-1 0,1 0 0,-1 2 0,-1-2 0,0 1 0,0 0 0,0 0 0,0 1 0,-1-1 0,0 3 0,-7-11 0,10 16 0,1-1 0,0 2 0,-1-1 0,0 0 0,1-1 0,0 2 0,-1-1 0,0 1 0,-1 0 0,2-1 0,0 1 0,-1 0 0,0 0 0,1 0 0,0 0 0,-2 0 0,2 1 0,-1-1 0,1 1 0,0-1 0,-1 2 0,1-2 0,0 1 0,-2 0 0,2 1 0,-1-1 0,1 0 0,-1 1 0,1-1 0,1 0 0,-2 0 0,0 2 0,0 1 0,-2 4 0,0-2 0,0 2 0,1 2 0,-1-3 0,0 2 0,-2 15 0,2-9 0,1 1 0,0 0 0,1-1 0,-1 2 0,2-1 0,0 1 0,1-3 0,0 4 0,1-3 0,3 1 0,-3 1 0,1-1 0,0-1 0,2 0 0,0 1 0,0 0 0,1-2 0,8 20 0,-6-17 0,3 1 0,-1 0 0,1-3 0,1 3 0,0-3 0,0 1 0,1-3 0,0 1 0,1-1 0,0-2 0,1 1 0,1-3 0,20 13 0,-4-8-341,0-3 0,1 1-1,58 6 1,-6-9-6485</inkml:trace>
  <inkml:trace contextRef="#ctx0" brushRef="#br0" timeOffset="5">4851 840 24575,'0'-4'0,"-2"1"0,2 0 0,-1 0 0,1 0 0,-1 0 0,0 0 0,1 0 0,-1 0 0,0 0 0,0 1 0,0 1 0,0-2 0,0 1 0,-2-1 0,2 0 0,0 2 0,-1-1 0,0 0 0,0-1 0,1 2 0,-2 0 0,1-1 0,1 0 0,-1 0 0,1 1 0,-3 1 0,2-1 0,1 0 0,-5-1 0,-5-2 0,-1 2 0,0 1 0,-1-1 0,-12 2 0,15 0 0,2 0 0,-1 2 0,-1 0 0,0 1 0,1-1 0,-1 2 0,2 1 0,0-1 0,-2 1 0,2 2 0,1 0 0,-13 8 0,16-9 0,-1 0 0,0-1 0,0 2 0,1-1 0,0 1 0,0-1 0,1 1 0,0 0 0,-2 1 0,2 0 0,1 0 0,-1 1 0,2-3 0,-2 3 0,1 0 0,2 0 0,-2-2 0,1 2 0,0 14 0,1-20 0,0 1 0,1 0 0,-1 0 0,1 0 0,0 0 0,0 0 0,-1-1 0,1 0 0,0 1 0,0 0 0,1 0 0,-1-3 0,1 4 0,-1-3 0,1 1 0,0 1 0,1-2 0,-1 0 0,0 1 0,0-1 0,-1 1 0,2 0 0,0-2 0,-1 1 0,0 0 0,1-1 0,0 0 0,0 1 0,0-1 0,-1 1 0,2-2 0,1 0 0,5 3 0,-1-1 0,-1-1 0,0-1 0,2 0 0,-1-1 0,-2-1 0,3-1 0,-1 3 0,11-9 0,-10 3 0,2-1 0,-1 2 0,-1-4 0,1 3 0,-2-3 0,1-2 0,-1 2 0,0-2 0,1 0 0,-3-1 0,2 0 0,10-24 0,-9 17 0,-2-2 0,0 0 0,-1-1 0,-1-1 0,2 2 0,-4-4 0,6-42 0,-5 8 0,-2 2 0,-1-2 0,-2 1 0,-4-1 0,0 1 0,-12-69 0,14 104 0,-3 0 0,2 0 0,-1 2 0,-3 0 0,2-2 0,-13-25 0,17 46 0,0-1 0,0 0 0,1 1 0,-1 1 0,0-1 0,-2-1 0,3 1 0,-2 1 0,1-3 0,0 4 0,-2-2 0,1-1 0,0 3 0,1-2 0,-1 0 0,1 2 0,-1-2 0,1 1 0,-3 1 0,2-2 0,1 2 0,-1 0 0,1 0 0,-1-2 0,-2 2 0,2 0 0,-2 2 0,2-2 0,-2 2 0,2 1 0,-1-1 0,1 0 0,-2 0 0,1 1 0,2-1 0,-2 2 0,2-1 0,-3 0 0,2-1 0,1 2 0,-1 0 0,1 0 0,0-2 0,-2 2 0,2 1 0,-1 3 0,-6 17 0,2-1 0,0 3 0,1-1 0,2 1 0,-2-3 0,3 3 0,1-1 0,0 3 0,1-3 0,1 1 0,0-1 0,8 37 0,-6-40 0,2-1 0,-1 2 0,1-3 0,2 0 0,0 2 0,-1-4 0,3 2 0,1 0 0,-1-3 0,0 2 0,2-1 0,0-3 0,1 2 0,21 21 0,-20-26-68,3-1 0,-1 1-1,-1-5 1,4 3 0,-3-2 0,3-1-1,-3-2 1,3 0 0,-2-1 0,1-1-1,0-2 1,-1-1 0,2 0 0,0-2-1,-2 0 1,2-1 0,-2-2 0,2 0-1,14-9 1,35-18-6758</inkml:trace>
  <inkml:trace contextRef="#ctx0" brushRef="#br0" timeOffset="6">294 3502 24575,'0'18'0,"0"0"0,1 0 0,0 0 0,1 0 0,0 0 0,2 0 0,-1-1 0,7 18 0,-8-30 0,0 1 0,0 0 0,1-1 0,0 0 0,1 0 0,-2 0 0,2 1 0,0-2 0,-1 1 0,1-1 0,-1-1 0,1 1 0,1 1 0,-1-2 0,0-1 0,1 1 0,-2-1 0,1 1 0,1-2 0,0 2 0,0-3 0,-1 2 0,2-2 0,8 2 0,-10-2 0,1-2 0,0 2 0,-1-2 0,2 2 0,-2-2 0,1 0 0,-1 0 0,0-1 0,0 1 0,1 1 0,0-4 0,-1 2 0,-1 0 0,1-2 0,0 1 0,-1 1 0,2-3 0,-2 3 0,-1-3 0,1 1 0,1-2 0,-2 2 0,2-5 0,2-2 0,-2 0 0,-1 1 0,1 0 0,-1-2 0,-1 2 0,0-3 0,-1 2 0,2 0 0,-2-1 0,-1 0 0,0-16 0,0 23 0,-1 1 0,0-2 0,-1 2 0,1-1 0,1 0 0,-2 0 0,0 0 0,1 3 0,-1-2 0,0-1 0,-1 1 0,1 0 0,0-1 0,-1 3 0,-5-8 0,3 5 0,-1-1 0,2 3 0,-3-1 0,2 0 0,-2 0 0,2 1 0,-3 0 0,2 0 0,-8-1 0,5 1 0,2 2 0,-1 0 0,0 1 0,1 0 0,-1-1 0,0 2 0,0 2 0,0-2 0,0 1 0,1 2 0,-1-1 0,0 1 0,2-1 0,-4 2 0,3 0 0,0 1 0,-10 8 0,13-8-124,0-2 0,0 2 0,2 0 0,-3 1 0,2-1 0,0 1-1,1-1 1,-2 2 0,3-1 0,-4 10 0,-4 21-6702</inkml:trace>
  <inkml:trace contextRef="#ctx0" brushRef="#br0" timeOffset="7">720 3185 24575,'3'-73'0,"-3"67"0,1 1 0,-1-1 0,2 0 0,0 1 0,-1 1 0,0-1 0,1-1 0,0 1 0,-1 0 0,5-6 0,-6 11 0,0 0 0,1 0 0,-1 0 0,0 0 0,0 0 0,0 0 0,0 0 0,0 0 0,0 0 0,0 0 0,1 0 0,-1 0 0,0 0 0,0-2 0,0 2 0,0 0 0,0 0 0,1 0 0,-1 0 0,0 0 0,0 0 0,0 0 0,0 0 0,0 0 0,0 0 0,0 0 0,0 0 0,0 2 0,0-2 0,0 0 0,0 0 0,0 0 0,1 0 0,-1 0 0,0 0 0,0 0 0,0 0 0,0 0 0,0 0 0,0 0 0,0 0 0,1 0 0,-1 0 0,0 0 0,0 0 0,0 0 0,0 0 0,0 0 0,0 2 0,0-2 0,0 0 0,0 0 0,0 0 0,5 19 0,-2 18 0,4 43 0,3 0 0,19 95 0,-29-175 0,1 4 0,0 1 0,-1-1 0,1-1 0,-1 1 0,2 0 0,-2 1 0,0 0 0,0-2 0,0 0 0,-2 1 0,2 1 0,-1-1 0,0 0 0,0 0 0,1-1 0,-1 2 0,0-1 0,-1 0 0,2-1 0,-2 0 0,-1 1 0,1-1 0,0-1 0,1 2 0,-3 3 0,-4-1 0,1 2 0,-2-3 0,3 1 0,-2-1 0,-2 1 0,-13 4 0,13-3 0,24-3 0,23-6 0,217-34 0,-196 22 0,-1-3 0,75-37 0,-126 51-92,0 1-49,0-1-1,1 0 1,0-1-1,-2 0 1,1-1-1,0 1 1,0-1-1,7-12 1,-6 1-6685</inkml:trace>
  <inkml:trace contextRef="#ctx0" brushRef="#br0" timeOffset="8">1464 3282 24575,'6'0'0,"15"0"0,17 0 0,18 0 0,18-7 0,3-5 0,-8 1 0,-13-5 0,-20-2 0,-16 3-8191</inkml:trace>
  <inkml:trace contextRef="#ctx0" brushRef="#br0" timeOffset="9">2777 3062 24575,'0'-5'0,"0"-1"0,0-1 0,0 2 0,-2-1 0,1 0 0,0 1 0,0-1 0,-1 1 0,1 0 0,-1-2 0,1 2 0,-2 0 0,2 0 0,-2-1 0,2 2 0,-5-5 0,3 7 0,1-1 0,-1 1 0,-1-1 0,2 0 0,-1 0 0,1 3 0,-2-2 0,2 0 0,-1 0 0,0 1 0,0-1 0,-1 2 0,1 0 0,-1 0 0,2 0 0,-2 0 0,2 0 0,-2 0 0,1 0 0,-1 0 0,2 2 0,-5 1 0,-3 1 0,-1 1 0,2-1 0,0 3 0,0 0 0,0-1 0,0 2 0,0 0 0,1 1 0,0 0 0,-1 1 0,-11 19 0,12-14 0,-2 3 0,1-3 0,0 3 0,3 0 0,-2-1 0,1 3 0,-6 31 0,12-47 0,0-2 0,0 2 0,1 0 0,-1-2 0,1 2 0,-1 0 0,1 0 0,0-2 0,0 2 0,1-1 0,-1 1 0,0-1 0,1 1 0,0 0 0,-1-1 0,1 0 0,0 1 0,-1-2 0,3 2 0,-1 3 0,1-3 0,-2-1 0,2 0 0,1 0 0,-1-1 0,-1 2 0,0-2 0,2 0 0,-2 1 0,2-1 0,-2 0 0,2-1 0,-1 0 0,6 4 0,2-3 0,1 1 0,-1-2 0,2 0 0,-2-1 0,1-1 0,0 0 0,22-8 0,-22 6 0,-1-3 0,1 1 0,-1-2 0,0 0 0,1-1 0,-2 0 0,1-2 0,-1 1 0,-2-1 0,13-15 0,-8 7 0,-2 0 0,0-1 0,0 0 0,-1-1 0,-1 0 0,12-39 0,-10 26 0,-4-1 0,2-1 0,-3 1 0,0-1 0,-1-1 0,-2 0 0,-1 1 0,-1-1 0,-4-59 0,3 74 0,-3-1 0,-8-38 0,10 53 0,0 2 0,-2-1 0,2 0 0,-1 1 0,0-1 0,0 1 0,-1 0 0,0-1 0,1 1 0,-2 0 0,0 1 0,1-1 0,-6-4 0,7 7 0,1 1 0,0 0 0,-1 1 0,1-1 0,-1 1 0,0-2 0,1 2 0,-1 0 0,0-1 0,1 1 0,0 0 0,-2 0 0,2 0 0,-1 1 0,1-1 0,0 0 0,-1 2 0,0-2 0,0 1 0,1-1 0,0 1 0,-1 0 0,1 1 0,0-1 0,-1 0 0,1 1 0,0-1 0,-2-1 0,2 2 0,1-1 0,-3 3 0,-1 3 0,-1 1 0,1 1 0,0-1 0,-1 1 0,-3 14 0,4-9 0,1-1 0,-1 0 0,1 1 0,1 0 0,0 0 0,2 0 0,-1 0 0,-1 0 0,2 0 0,2 1 0,-1-1 0,-1 0 0,2 0 0,1 0 0,-1 0 0,2-1 0,-1 1 0,1-1 0,1-1 0,-1 1 0,2 0 0,-1 0 0,1-3 0,0 2 0,1-2 0,0 0 0,0 1 0,1-1 0,-1-1 0,1 0 0,1-2 0,1 1 0,-2 0 0,15 6 0,-6-4-136,0-2-1,2 0 1,-2-3-1,2 0 1,0-1-1,-2 0 1,2-3-1,0 1 0,18-5 1,19-7-6690</inkml:trace>
  <inkml:trace contextRef="#ctx0" brushRef="#br0" timeOffset="10">3397 2793 24575,'0'-7'0,"0"0"0,0-3 0,0 2 0,-1-1 0,0 1 0,-1-14 0,1 20 0,-1-1 0,1 1 0,1-1 0,-1 0 0,-2 1 0,3 1 0,-1-2 0,-1 0 0,1 2 0,-1-1 0,0 1 0,1-1 0,0 0 0,-1 1 0,0-1 0,1 2 0,-2-2 0,2 0 0,-1 2 0,-4-2 0,-1-1 0,-2 1 0,2 0 0,-2 0 0,2 1 0,-2 1 0,1 0 0,0 1 0,0 1 0,-2-2 0,3 4 0,0-2 0,-2 1 0,2 1 0,-1-1 0,-11 9 0,13-8 0,0 1 0,1 0 0,-2 1 0,2-1 0,0 1 0,0 1 0,1-1 0,-2 0 0,2 1 0,-1 1 0,2 0 0,-1-1 0,0 1 0,2 2 0,-2-2 0,0-1 0,3 2 0,-4 18 0,4-23 0,1 0 0,-1-2 0,1 2 0,0 0 0,0-1 0,0 0 0,0 1 0,0 0 0,1 0 0,-1-2 0,1 2 0,0 0 0,-1-2 0,1 2 0,0-1 0,0 1 0,1-2 0,-2 1 0,3 0 0,-1 2 0,2-1 0,-2-2 0,1 3 0,0-3 0,0 0 0,0 1 0,1-1 0,-2 2 0,2-4 0,1 3 0,-3-1 0,1-1 0,6 2 0,2-3 0,0 2 0,-1-1 0,0-1 0,1-1 0,0-1 0,-2 2 0,1-3 0,1-1 0,8-4 0,-5-1 0,-1 1 0,0-1 0,0-1 0,0-2 0,-2 0 0,1 0 0,-1 0 0,1-3 0,-2 0 0,-1 0 0,1 0 0,-1-2 0,-1 0 0,-1 0 0,1-1 0,-1 0 0,6-23 0,-5 11 0,-2 0 0,1 0 0,-1-3 0,-2 2 0,-1-3 0,-1 3 0,-1-2 0,-1 1 0,0 1 0,-4-38 0,0 49 0,2-1 0,-2 1 0,-1 0 0,-9-29 0,12 42 0,0 1 0,0 0 0,-2 1 0,0-1 0,2-1 0,-1 2 0,-6-6 0,8 8 0,-2 1 0,2 0 0,-2 1 0,2-2 0,-1 2 0,0 0 0,-1 0 0,1-1 0,0 1 0,0 1 0,1-1 0,-3 0 0,3 1 0,-2 0 0,1 0 0,-5 0 0,5 0 0,-1 1 0,1 0 0,-1 0 0,1 1 0,0-1 0,0 0 0,0 2 0,-2-2 0,2 2 0,0-2 0,0 1 0,0 1 0,0 0 0,0-1 0,1 1 0,0-1 0,-1 3 0,1-3 0,0 0 0,0 3 0,-2-3 0,2 2 0,0 4 0,-3 6 0,1 2 0,-1-1 0,2-2 0,-1 23 0,2-15 0,1 2 0,0-1 0,0-3 0,2 3 0,0-2 0,0 2 0,2-1 0,0-2 0,1 2 0,1-1 0,6 19 0,-4-22 0,-2-1 0,1-1 0,0 0 0,2 0 0,-1-1 0,1-1 0,1 1 0,-1-3 0,1 1 0,1-2 0,-1 3 0,2-4 0,17 11 0,-14-11-76,1 0 1,1-2-1,-1-1 0,3 0 0,-3-1 0,2-3 0,-1 1 0,0-2 1,0-1-1,1-1 0,-1-2 0,0 1 0,0-2 0,0-1 1,0-2-1,0-1 0,27-15 0,12-23-6750</inkml:trace>
  <inkml:trace contextRef="#ctx0" brushRef="#br0" timeOffset="11">541 4552 24575,'1'0'0,"-1"0"0,0 0 0,0-2 0,0 2 0,0 0 0,2 0 0,-2 0 0,0 0 0,0 0 0,0 0 0,1-2 0,-1 2 0,0 0 0,0 0 0,1 0 0,-1-2 0,0 2 0,0 0 0,0 0 0,0 0 0,0 0 0,1 0 0,-1 0 0,0 0 0,1 0 0,-1 0 0,0 0 0,1 0 0,-1 0 0,0 0 0,0 0 0,1 0 0,-1 0 0,0 0 0,1 0 0,-1 0 0,0 0 0,1 2 0,-1-2 0,0 0 0,0 0 0,1 0 0,-1 0 0,0 2 0,0-2 0,0 0 0,2 0 0,-2 0 0,0 0 0,0 0 0,0 0 0,1 2 0,-1-2 0,0 0 0,0 0 0,0 1 0,0-1 0,0 0 0,0 2 0,0-2 0,0 0 0,0 0 0,0 0 0,0 0 0,0 2 0,0-2 0,0 0 0,0 2 0,18-32 0,-13 24 0,16-34 0,9-14 0,-30 54 0,0 0 0,0 0 0,1-2 0,-1 2 0,0 0 0,0-1 0,1 1 0,-1 0 0,1 0 0,-1 0 0,0-1 0,2 1 0,-2 0 0,0 0 0,1 0 0,-1 0 0,0-1 0,0 1 0,1 0 0,-1 0 0,0 0 0,1 0 0,-1 0 0,1 0 0,-1 0 0,0 0 0,1 1 0,-1-1 0,0 0 0,0 0 0,0 0 0,1 0 0,-1 0 0,1 1 0,-1-1 0,0 0 0,1 0 0,-1 1 0,0-1 0,1 0 0,-1 2 0,0-2 0,0 0 0,0 0 0,0 0 0,0 0 0,0 2 0,2-2 0,-2 0 0,0 2 0,0-2 0,0 1 0,0-1 0,0 0 0,0 1 0,0 0 0,4 34 0,-4-35 0,1 240 0,-2-142 0,1-86 0,0 2 0,-1 0 0,-1-1 0,1 0 0,-1 0 0,-4 17 0,4-26 0,2 1 0,-3 0 0,1-1 0,-1 1 0,1-1 0,0 1 0,-1-1 0,1 1 0,0-1 0,-1-1 0,-1 1 0,1-1 0,0 0 0,0-1 0,-1 1 0,0-1 0,-5 4 0,9-6 0,-1 0 0,1 0 0,-1 1 0,1-1 0,-1 0 0,0 0 0,1 0 0,-1 1 0,1-1 0,0 0 0,-1 1 0,-2-1 0,3 2 0,-1-2 0,1 1 0,0-1 0,0 1 0,-1-1 0,1 2 0,-1-2 0,0 2 0,16 1 0,39-11 0,-47 7 0,33-4-104,-24 3-54,1 1 1,-3-3-1,4 0 0,-3 1 1,2-3-1,-1 0 1,23-16-1,-16 0-6668</inkml:trace>
  <inkml:trace contextRef="#ctx0" brushRef="#br0" timeOffset="12">896 4529 24575,'0'-3'0,"1"0"0,-1 0 0,2 1 0,-2-1 0,0 1 0,1-1 0,0 1 0,0 0 0,0 0 0,0-1 0,0 1 0,0 0 0,2 0 0,0-2 0,22-25 0,-19 21 0,1 3 0,1-1 0,-1 1 0,1 0 0,0 1 0,0 0 0,1-1 0,0 4 0,9-4 0,-15 3 0,0 2 0,2 0 0,-2 0 0,0 0 0,1 0 0,0 0 0,-1 0 0,-1 0 0,3 2 0,-1 0 0,0-2 0,-2 2 0,2 0 0,-1-2 0,0 4 0,0-2 0,1 1 0,-2-1 0,2 1 0,-2 1 0,1-2 0,-1 2 0,1-1 0,1 6 0,-3-4 0,1-1 0,-1 0 0,1 1 0,-1-2 0,0 2 0,-1-1 0,1 1 0,-1-1 0,0 1 0,0 0 0,0-1 0,-1 1 0,1-1 0,-1 1 0,1-1 0,-1 0 0,-2 0 0,2 2 0,0-3 0,0 1 0,-3 5 0,-4 13 0,0-2 0,-19 30 0,7-14 0,-44 50 0,-8 16 0,72-101 0,-1 0 0,0-1 0,1 2 0,-1-1 0,0-1 0,1 1 0,-1 1 0,1-1 0,0 0 0,0-1 0,-2 2 0,2-1 0,0 0 0,0 0 0,-1 1 0,1-1 0,0 0 0,0 1 0,0-1 0,0 0 0,0 0 0,0 1 0,0-1 0,0 0 0,0 1 0,0-2 0,1 3 0,1-1 0,-2-1 0,2 0 0,-1 1 0,0-1 0,0-1 0,0 1 0,0 0 0,1-1 0,-1 2 0,0-2 0,0 1 0,1-1 0,-2 1 0,2-1 0,2 0 0,9 2 0,0-2 0,24-6 0,-35 6 0,272-67 0,-267 65-170,-1 0-1,1 0 0,0-1 1,-2-1-1,1 2 0,1-3 1,8-8-1,3-7-6655</inkml:trace>
  <inkml:trace contextRef="#ctx0" brushRef="#br0" timeOffset="13">1606 4479 24575,'-3'0'0,"7"-8"0,11-2 0,11-9 0,10-3 0,9 7 0,-1-6 0,3 2 0,-3 4 0,-12 5 0,-17 4 0</inkml:trace>
  <inkml:trace contextRef="#ctx0" brushRef="#br0" timeOffset="14">2545 4065 24575,'2'2'0,"2"-1"0,-3 2 0,1 0 0,0-1 0,1 2 0,-1-1 0,-1-1 0,1 1 0,-1 0 0,0 0 0,1 1 0,-1-1 0,-1 1 0,1 0 0,1 0 0,-1-1 0,-1 1 0,1 4 0,4 75 0,-5-63 0,2 44 0,-2-37 0,0-61 0,0 27 0,4-132 0,-3 122 0,1 1 0,0-1 0,0 1 0,2 1 0,-1-3 0,9-19 0,-11 34 0,0 1 0,0 0 0,0-3 0,0 3 0,1 0 0,-1-1 0,1 1 0,-2 0 0,2-1 0,0 0 0,-2 2 0,2 0 0,1-1 0,-2 1 0,1-2 0,0 2 0,1 0 0,-1 0 0,0-1 0,0 2 0,0-1 0,0 0 0,-1 1 0,3 0 0,-3-2 0,1 2 0,0 0 0,4 0 0,-2 2 0,-1-1 0,1 2 0,-1-2 0,1 1 0,0 1 0,-2 0 0,2-2 0,-1 2 0,0-1 0,0 2 0,0 1 0,-1-3 0,1 2 0,-1-1 0,5 10 0,0 3 0,-4-10 0,0 0 0,0-1 0,0 2 0,-1-2 0,8 8 0,-10-13 0,1 1 0,0 0 0,0-1 0,-1 2 0,2-2 0,-2 1 0,1-1 0,0 0 0,0 1 0,0-1 0,-1 0 0,1 0 0,0 1 0,0-1 0,0 0 0,-1 0 0,1 0 0,0 0 0,1 0 0,-1-1 0,-1 1 0,1 0 0,0 0 0,0-1 0,0 1 0,0 0 0,0-1 0,0 1 0,0-2 0,1 1 0,-2 1 0,0-1 0,1 1 0,0-2 0,0 0 0,33-54 0,4-3 0,-32 50 0,0 2 0,1-1 0,1 2 0,-2 0 0,3 0 0,6-6 0,-13 11 0,0 1 0,0-1 0,0-1 0,-1 2 0,1-2 0,0 2 0,1 0 0,-1 0 0,-1 0 0,1 0 0,0 0 0,0 0 0,1 0 0,-2 2 0,2-2 0,-2 2 0,1-2 0,-1 1 0,2 0 0,-1 0 0,-1 1 0,0-2 0,1 2 0,-1 0 0,0 0 0,3-1 0,-3 1 0,0 0 0,1 1 0,-1-2 0,-1 2 0,3 2 0,20 51 0,-18-43 0,-1-2 0,1 3 0,0-3 0,2-1 0,9 20 0,-14-27 0,0 0 0,2 0 0,-1 0 0,-1-2 0,1 2 0,1-1 0,-2-1 0,1 1 0,1 0 0,-1-1 0,1 0 0,-2-1 0,2 1 0,-1-1 0,0 2 0,1-2 0,-1 0 0,0 0 0,0-2 0,1 2 0,4-2 0,-1-2 0,1 2 0,-1-1 0,0-3 0,0 3 0,0-3 0,0 0 0,-1 1 0,0-2 0,0 0 0,1 0 0,-2 1 0,1-2 0,7-15 0,-6 9 0,0 1 0,-1-1 0,0-2 0,1 2 0,-3 0 0,1-3 0,6-29 0,-11 37 0,-4 25 0,-4 23 0,2-8 0,6-31 0,0 0 0,0 0 0,0 0 0,0 0 0,0 0 0,0 0 0,0-1 0,0 1 0,0 0 0,0 0 0,0 0 0,-1 0 0,1 0 0,0 0 0,0 0 0,0 0 0,0 0 0,0 0 0,0 0 0,0 0 0,0 0 0,0 0 0,0 0 0,0 0 0,0 0 0,0 0 0,0 0 0,0 0 0,0 0 0,0 0 0,0 0 0,0 0 0,0 0 0,0 0 0,0 0 0,0 0 0,0 0 0,0 0 0,0 0 0,-1 0 0,1 0 0,0 0 0,0 0 0,0 0 0,1-57 0,0 38 0,3 0 0,-2 0 0,10-36 0,-11 50 0,1-2 0,-1 0 0,2 1 0,-1 0 0,1 0 0,-1-1 0,2 1 0,-1 0 0,1 1 0,-1 1 0,2-1 0,-2 1 0,8-9 0,-8 12 0,-2 1 0,0-2 0,0 1 0,2 0 0,-2 1 0,0-2 0,1 2 0,-1 0 0,1-1 0,-1 1 0,1 0 0,0 0 0,0 0 0,-2 0 0,2 1 0,0-1 0,1 0 0,-2 2 0,1-2 0,-1 1 0,0-1 0,1 1 0,-2 1 0,2-1 0,1 0 0,-2 0 0,-1 1 0,2-1 0,-1 0 0,0 1 0,0-1 0,0 1 0,0 0 0,0 0 0,1 2 0,4 8 0,0 1 0,-1 2 0,-1-2 0,6 18 0,0 6 0,-10-35 0,1-1 0,0 0 0,-1 2 0,1-2 0,-1 0 0,2 1 0,-2-1 0,1 0 0,0 0 0,0 1 0,0-1 0,-1 0 0,1 1 0,0-1 0,0 0 0,0 0 0,0-1 0,2 2 0,-2-2 0,0 1 0,-1-1 0,2 1 0,-1-1 0,0 0 0,0 2 0,0-2 0,2 0 0,-2 0 0,-1 0 0,2 0 0,-1 0 0,0 0 0,0-2 0,0 2 0,0 0 0,0-1 0,1 1 0,-1-1 0,1 1 0,-1-2 0,0 1 0,0 0 0,0 1 0,0-1 0,0-2 0,7-7 0,0 0 0,-2 0 0,2 0 0,8-22 0,-6 13 0,3-8 0,4 2 0,-1-1 0,1 4 0,20-25 0,-31 43 0,-1-2 0,2 0 0,-2 3 0,3-3 0,-2 3 0,0-1 0,1 0 0,9-1 0,-13 3 0,0 2 0,2-1 0,-1 1 0,-1 0 0,2 0 0,-1 0 0,-1 1 0,1 1 0,-1-1 0,1 0 0,1 1 0,-2-1 0,0 1 0,1 1 0,7 5 0,-3 1 0,1 1 0,-1-1 0,1 2 0,-3 1 0,10 13 0,-8-10 0,2-1 0,17 20 0,-25-30-50,2-2-1,-1 1 1,0-2-1,0 2 0,0-1 1,0 0-1,1-1 1,0 0-1,-1 1 1,1-1-1,-1-1 0,1 0 1,0 2-1,-1-2 1,0-2-1,1 2 1,0 0-1,-1-1 0,1-1 1,0 1-1,-2 0 1,1-1-1,1 0 1,-1-1-1,1 2 1,3-6-1,27-21-6775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24.26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125 375 24575,'1'-42'0,"-1"-39"0,0 74 0,-1 0 0,0 0 0,-1 1 0,1-1 0,-1 1 0,-1-1 0,0 0 0,-4-10 0,6 17 0,1-1 0,0 1 0,0-1 0,-1 0 0,1 1 0,0-1 0,-1 1 0,1-1 0,-1 1 0,1 0 0,0-1 0,-1 1 0,1-1 0,-1 1 0,1 0 0,-1-1 0,1 1 0,-1 0 0,0 0 0,1-1 0,0 1 0,0 0 0,-1 0 0,1 0 0,-1 0 0,0-1 0,1 1 0,-1 0 0,1 0 0,-1 1 0,0-1 0,1 0 0,-1 0 0,0 0 0,1 0 0,-1 1 0,-1 0 0,0 0 0,0 1 0,1-1 0,0 1 0,-1 0 0,1 0 0,-1-2 0,1 2 0,-2 3 0,-3 6 0,0 0 0,0 2 0,2-2 0,0 1 0,0 0 0,-2 18 0,-8 81 0,12-89 0,-16 262 0,18-207 0,16 128 0,-11-173 0,0 1 0,3-1 0,14 39 0,-17-60 0,0 0 0,-1-1 0,2-1 0,0 2 0,11 11 0,-13-17 0,1 0 0,-1-1 0,1 0 0,0 0 0,-1-1 0,2 1 0,-1-1 0,0 1 0,1-2 0,12 5 0,-13-6 0,2 0 0,-1 0 0,0 0 0,0-1 0,0 0 0,0 0 0,0-1 0,0 1 0,0-1 0,0-1 0,0 1 0,-1-1 0,1 0 0,1 0 0,-3-1 0,2 0 0,0 0 0,-2 0 0,2 0 0,7-9 0,0 1 0,0-2 0,0 0 0,-1 0 0,0-1 0,16-28 0,-6 1 0,-1 1 0,-2-1 0,-4-2 0,0 1 0,-1-2 0,-3 0 0,8-62 0,-18 97 0,0-2 0,0 1 0,-1 0 0,0-1 0,0 1 0,-4-19 0,4 28 0,0 1 0,0 0 0,0-1 0,0 1 0,0-1 0,0 1 0,0-1 0,0 1 0,0 0 0,0-1 0,0 1 0,0-1 0,-1 1 0,1 0 0,0 0 0,0 0 0,-1-1 0,1 1 0,0 0 0,0-1 0,-1 1 0,1 0 0,0 0 0,-1-1 0,1 1 0,-1 0 0,1 0 0,0-1 0,-1 1 0,1 0 0,-1 0 0,1 0 0,0 0 0,-1 0 0,1 0 0,-1 0 0,1 0 0,-1 0 0,-8 14 0,3 5 0,2-1 0,0 1 0,1 1 0,0-1 0,2 0 0,0 1 0,2-1 0,0 0 0,1 1 0,1-2 0,1 2 0,6 19 0,-6-31 0,-2-1 0,2 0 0,0 0 0,1 0 0,-1 0 0,1-1 0,0 1 0,0-1 0,1 0 0,0-1 0,9 9 0,-11-13 0,0 2 0,0-1 0,-1 0 0,1 0 0,1 0 0,-1-1 0,-1 0 0,2 0 0,-1 0 0,0-1 0,0 1 0,1-1 0,0 0 0,-2 0 0,2 0 0,-1-1 0,0 1 0,0 0 0,1-1 0,-1-1 0,0 1 0,0-1 0,5-3 0,0 1 0,-2-1 0,1 0 0,-1 0 0,0-2 0,-1 1 0,1 0 0,0-2 0,-2 2 0,1-2 0,-1 1 0,0-1 0,6-14 0,3-8 0,-1-2 0,7-35 0,-7 24 0,-11 96 0,-2-42 0,0 0 0,1 1 0,0-2 0,0 1 0,2 0 0,-1 0 0,1-1 0,0 1 0,8 14 0,-9-21 0,1 2 0,1-1 0,-1-1 0,0 1 0,1-1 0,0 0 0,0 0 0,0 0 0,0 0 0,1-1 0,-1 1 0,1-1 0,0 0 0,0 0 0,0-2 0,1 2 0,-1-1 0,0 0 0,1-1 0,7 2 0,-9-2 0,0-1 0,0 0 0,1 0 0,-2 0 0,2 0 0,-1-1 0,0 0 0,0 0 0,0 0 0,1 0 0,-2-1 0,1 1 0,0-1 0,5-3 0,-3 1 0,0-1 0,0 1 0,0-2 0,-1 1 0,1 0 0,-2-1 0,8-9 0,-2-1 0,-1 0 0,0-1 0,-2 0 0,1 0 0,7-31 0,-10 25 0,7-44 0,-11 59 0,-1 0 0,0 0 0,0 0 0,0 0 0,-1-1 0,0 2 0,-1-2 0,0 2 0,-4-9 0,6 15 0,-1-1 0,0 0 0,1 1 0,0 0 0,-1-1 0,0 1 0,0-1 0,0 1 0,-1 0 0,1-1 0,0 1 0,-1 0 0,1 0 0,0-1 0,-1 1 0,-1 0 0,2 1 0,0 0 0,0-1 0,0 1 0,0 0 0,0 0 0,0 0 0,0 0 0,0 0 0,0 0 0,0 0 0,0 1 0,0-1 0,1 0 0,-1 0 0,0 1 0,0-1 0,0 0 0,0 0 0,1 1 0,-1-1 0,-1 2 0,-1 0 0,1 0 0,1 0 0,-1 0 0,0 1 0,1-2 0,-1 2 0,1-1 0,-1 1 0,1 0 0,0-1 0,0 0 0,0 1 0,0 0 0,1 0 0,0 0 0,-1 0 0,1-1 0,0 4 0,0-3 0,0 0 0,0-1 0,0 1 0,1 1 0,-1-1 0,0 0 0,1-1 0,0 1 0,0-1 0,0 1 0,1 0 0,-1-1 0,1 0 0,0 1 0,-1 0 0,1-1 0,0 0 0,0 0 0,0 0 0,0 0 0,3 2 0,2 0 0,1-1 0,-1 0 0,1 0 0,-1 0 0,17 3 0,-19-6 0,1 2 0,0-1 0,0 1 0,0 0 0,-1 0 0,1 1 0,-1-1 0,0 1 0,1 0 0,-2 1 0,2 0 0,5 5 0,-7-3 0,-1-1 0,1 1 0,-2-1 0,6 14 0,-6-13 0,0-1 0,0 1 0,0-1 0,1 0 0,1 0 0,3 6 0,-6-10 0,1 1 0,-1-1 0,1 0 0,0 1 0,-1-1 0,1 0 0,-1 0 0,1 0 0,0-1 0,0 1 0,0-1 0,0 1 0,0-1 0,1 1 0,-2-1 0,1 0 0,0 0 0,0 0 0,0 0 0,0 0 0,1 0 0,1-1 0,2-1 0,0 1 0,0-1 0,0-1 0,-2 1 0,2-2 0,0 1 0,-2 1 0,1-2 0,0 0 0,-1 0 0,1 0 0,-1 0 0,0-1 0,0 1 0,0-1 0,-1-1 0,0 2 0,0-2 0,0 1 0,2-8 0,3-5 0,-1-1 0,-2-1 0,1 1 0,4-38 0,-8 41 0,4-35 0,-6 47 0,0-1 0,0 2 0,0-1 0,-1 0 0,0 0 0,1 1 0,-1-1 0,-1 0 0,1 1 0,-3-5 0,4 8 0,0-1 0,0 1 0,0-1 0,-1 1 0,1 0 0,0-1 0,0 1 0,0 0 0,0-1 0,0 1 0,-1 0 0,1 0 0,0-1 0,-1 1 0,1 0 0,0 0 0,-1 0 0,1-1 0,0 1 0,-1 0 0,1 0 0,-1 0 0,1 0 0,0 0 0,-1 0 0,1 0 0,-1 0 0,1 0 0,-1 0 0,1 0 0,0 0 0,-1 0 0,1 0 0,-1 0 0,1 0 0,0 0 0,-1 1 0,1-1 0,0 0 0,-1 0 0,1 0 0,0 1 0,-1-1 0,1 0 0,0 1 0,-1-1 0,1 0 0,0 0 0,0 1 0,-1-1 0,1 0 0,0 1 0,0-1 0,0 1 0,0-1 0,0 0 0,0 1 0,0-1 0,0 1 0,-11 23 0,10-18 0,-1-1 0,2 1 0,-1 0 0,0-1 0,1 1 0,0 0 0,0 0 0,0 0 0,1-1 0,0 1 0,1 8 0,0-10 0,-1 0 0,1-2 0,0 2 0,1-1 0,-1 1 0,-1-2 0,2 1 0,0 0 0,0 0 0,0-1 0,-1 1 0,1-1 0,0 0 0,1 0 0,-1 0 0,0 0 0,0 0 0,8 1 0,2 1 0,-1-1 0,1 0 0,20 1 0,-24-4 0,1 1 0,0 1 0,-1 0 0,0 0 0,20 7 0,-26-7 0,0 1 0,1-1 0,-1 0 0,-1 1 0,1-1 0,0 1 0,0 0 0,0 0 0,-1 0 0,0-1 0,0 2 0,0-1 0,0 1 0,0 0 0,0-2 0,-1 2 0,0 0 0,0 0 0,1 6 0,1 6 0,-1-8 0,0 1 0,0-2 0,0 2 0,4 7 0,-5-14 0,1 1 0,-1 0 0,1-1 0,0 0 0,0 0 0,-1 0 0,1 0 0,0 0 0,0 0 0,1 0 0,-1 0 0,1-1 0,-2 1 0,2-2 0,0 2 0,4 1 0,-1-2 0,1 1 0,-1-1 0,1 0 0,-1-1 0,1 0 0,0 0 0,0 0 0,-1-1 0,1 0 0,0 0 0,-1-1 0,1 0 0,-2 0 0,2 0 0,-1-1 0,0 0 0,9-5 0,0-2 0,0 0 0,-1-1 0,0-1 0,0 0 0,14-18 0,-16 15 0,1 0 0,-3-1 0,0 0 0,0 1 0,11-30 0,-16 32 0,-2 2 0,1-1 0,0 0 0,-2-1 0,1 1 0,-2-1 0,0 0 0,-1 1 0,0-18 0,-1 27 0,1 0 0,-1 0 0,1-1 0,-1 0 0,0 2 0,-1-1 0,1-1 0,-1 1 0,1 0 0,-1 1 0,0-1 0,1 0 0,-1 0 0,0 0 0,-5-2 0,7 4 0,-1 0 0,0 1 0,0-1 0,0 1 0,0-1 0,0 1 0,0-1 0,0 1 0,0 0 0,0 0 0,0-1 0,0 1 0,-1 0 0,1 0 0,0 0 0,0 0 0,0 0 0,1 1 0,-3-1 0,1 1 0,0 0 0,-1 0 0,1 0 0,0 0 0,1 1 0,-1-2 0,0 2 0,0-1 0,1 1 0,-1 0 0,0-1 0,-1 4 0,-3 4 0,-1 0 0,2 1 0,0 0 0,0 0 0,1 1 0,0-1 0,1 1 0,-1-1 0,1 14 0,1-18 0,1 0 0,0 0 0,1-1 0,0 2 0,0-2 0,0 1 0,1 1 0,-1-2 0,2 1 0,-1-1 0,0 1 0,1 0 0,0-1 0,0 1 0,1 0 0,0-2 0,0 2 0,7 8 0,-6-10 0,-1-2 0,2 1 0,-1 0 0,0-1 0,0 1 0,1-1 0,0 0 0,-1-1 0,1 1 0,1-1 0,-2 0 0,1 0 0,0 0 0,0-1 0,0 1 0,0-1 0,0-1 0,0 1 0,0-1 0,0 0 0,0 0 0,6-3 0,2 1 0,-1-1 0,1-1 0,-2 0 0,1-1 0,-1-1 0,0 1 0,16-13 0,-19 12 0,0-1 0,1 0 0,-1-1 0,-1 1 0,0-1 0,0-1 0,-1 1 0,0-1 0,0-1 0,3-11 0,-9 22 0,0 0 0,1 0 0,-1 0 0,0 0 0,0 0 0,0 0 0,0 0 0,0 0 0,0 0 0,0 1 0,0-1 0,0 0 0,0 0 0,0 0 0,0 0 0,0 0 0,0 0 0,0 0 0,1 0 0,-1 0 0,0 0 0,0 0 0,0 0 0,0 0 0,0 0 0,0 0 0,0 0 0,0 0 0,0 0 0,0 0 0,0 0 0,1 0 0,-1 0 0,0 0 0,0 0 0,0 0 0,0 0 0,0 0 0,0 0 0,0 0 0,0 0 0,0 0 0,0-1 0,0 1 0,0 0 0,0 0 0,0 0 0,3 16 0,-3-10 0,0 1 0,1-1 0,0 0 0,-1 1 0,2-1 0,-1 0 0,2 0 0,-1 0 0,1 0 0,5 9 0,-5-11 0,1-2 0,-1 1 0,0 0 0,1-1 0,0 0 0,0 0 0,-1 0 0,1-1 0,0 1 0,0-1 0,0 1 0,0-1 0,1-1 0,7 2 0,-6-2 0,1-1 0,-1 0 0,1 0 0,0 0 0,-1-1 0,1 0 0,-1 0 0,11-5 0,-2-1 0,-1-1 0,-1 0 0,1-1 0,-2 0 0,2-1 0,19-24 0,-21 22 0,-10 7 0,2 2 0,-1 0 0,1-1 0,0 1 0,0 1 0,0-1 0,0 0 0,1 0 0,0 2 0,0-1 0,8-4 0,-11 7 0,1 0 0,0 1 0,0-1 0,0 1 0,-1 0 0,1 0 0,-1 0 0,1 1 0,0-1 0,-1 0 0,0 0 0,0 1 0,1-1 0,-1 1 0,0 0 0,2 3 0,17 10 0,-16-13 0,0 0 0,1 0 0,0 0 0,-1 0 0,1 0 0,0-1 0,-1 0 0,2 0 0,-2-1 0,1 0 0,0 0 0,0 0 0,0-1 0,-1 0 0,1 0 0,0 0 0,-1-1 0,7-3 0,-5 3 0,0-2 0,-1 0 0,0 0 0,0 0 0,0-1 0,-1 0 0,0 1 0,1-2 0,-2 0 0,1 1 0,-1-1 0,1 0 0,-2 0 0,5-10 0,-2 0 0,0 0 0,0 0 0,-3 0 0,1 0 0,-1-1 0,2-19 0,-4-7 0,-2-48 0,-18 162 0,9-9 0,3 0 0,0 101 0,8-156 14,0 1-1,0 0 0,0 0 0,1-1 1,0 1-1,1-1 0,0 1 1,4 9-1,-6-15-72,1 1-1,-1-1 1,1 1-1,0-1 1,-1 1 0,1-2-1,0 1 1,0 0-1,0 0 1,1 0 0,-1 0-1,0 0 1,0-1-1,1 0 1,0 0 0,0 0-1,-1 0 1,1 0-1,0 0 1,-1 0 0,2-1-1,-1 1 1,-1-1-1,6 0 1,16-4-6767</inkml:trace>
  <inkml:trace contextRef="#ctx0" brushRef="#br0" timeOffset="148.03">2840 375 24575,'3'0'0,"8"0"0,10 0 0,9-7 0,15-1 0,10-7 0,1-1 0,-8 2-8191</inkml:trace>
  <inkml:trace contextRef="#ctx0" brushRef="#br0" timeOffset="1274.58">3831 335 24575,'0'0'0,"1"0"0,1 0 0,-1-1 0,0 1 0,0-1 0,0 1 0,0-1 0,0 1 0,0-1 0,0 1 0,0 0 0,0-1 0,0 0 0,-1 0 0,0 0 0,1 0 0,0 0 0,0 0 0,-1 0 0,1 0 0,-1 0 0,1 0 0,-1 0 0,1 0 0,0-1 0,0-1 0,0 0 0,-1 0 0,1 0 0,0 0 0,-1 1 0,0-1 0,0 0 0,0-1 0,0-1 0,-1 0 0,-1-1 0,0 2 0,0-1 0,0 0 0,0 2 0,0-2 0,0 0 0,-1 2 0,0-1 0,-1-1 0,2 1 0,-2 1 0,0 0 0,0-1 0,1 1 0,-1 0 0,-1 1 0,1-1 0,0 0 0,-7-2 0,7 3 0,-1 1 0,0-1 0,1 1 0,0 0 0,-1 0 0,1 0 0,-1 0 0,0 1 0,1 0 0,-1 0 0,0 0 0,1 1 0,-1-1 0,0 1 0,1 0 0,-1 1 0,1-1 0,-1 0 0,1 1 0,0 0 0,-1 1 0,-2 2 0,-3 3 0,1 1 0,1-1 0,-1 1 0,1 1 0,0-1 0,2 1 0,-1 1 0,-7 15 0,2 1 0,1 0 0,-11 39 0,18-52 0,2 0 0,-1-1 0,2 1 0,-1 0 0,2 0 0,0 0 0,3 20 0,-3-30 0,1-1 0,0 2 0,1-1 0,-1 0 0,0-1 0,0 2 0,1-1 0,0-2 0,1 2 0,-1 0 0,1 0 0,3 4 0,-3-6 0,0 0 0,-1 0 0,0-1 0,1 1 0,0-1 0,0 0 0,0 0 0,0 0 0,-1 0 0,2 0 0,-1 0 0,0-1 0,0 1 0,0-1 0,0 0 0,0 0 0,1 0 0,-2-1 0,5 0 0,2-1 0,1-1 0,-1 1 0,0-2 0,0 0 0,-1 0 0,1 0 0,-1-1 0,1-1 0,-2 1 0,1-1 0,-1 0 0,1-1 0,-2 0 0,1 0 0,-2 0 0,6-9 0,5-8 0,-1 1 0,-1-2 0,0 0 0,11-35 0,-18 39 0,0-1 0,-2 0 0,0 0 0,-1 0 0,1-42 0,-5 49 0,0 0 0,-1 0 0,-1 0 0,-1 0 0,0 1 0,-1-1 0,0 1 0,-1 0 0,-10-20 0,14 31 0,-1 0 0,1 0 0,-1 1 0,1-1 0,-1 0 0,0 1 0,0 0 0,-1-1 0,1 1 0,-1 0 0,1 0 0,0 0 0,-1 1 0,0-1 0,-3-1 0,5 3 0,-1-1 0,0 1 0,0 0 0,1 0 0,-1 0 0,0 1 0,0-1 0,2 0 0,-2 0 0,0 1 0,1-1 0,-1 1 0,0 0 0,1-1 0,-1 1 0,1 0 0,0 0 0,0-1 0,-1 1 0,1 0 0,0 0 0,0 1 0,-1-1 0,1 0 0,0 1 0,0-1 0,0 1 0,0-1 0,-1 3 0,-2 5 0,-1-1 0,1 2 0,1-2 0,-1 1 0,1 1 0,0-1 0,1 1 0,1 0 0,0-1 0,0 1 0,1 0 0,0 0 0,0-1 0,1 2 0,0-2 0,0 1 0,2 0 0,0-1 0,5 15 0,-3-12 0,0-1 0,0 0 0,1-1 0,1 1 0,0-1 0,0-1 0,1 1 0,0-1 0,1 0 0,-1-1 0,2 0 0,-1 0 0,1-2 0,1 2 0,16 7 0,-15-10 0,1-1 0,0 1 0,0-1 0,0-1 0,1-1 0,0 0 0,-1-1 0,0 0 0,1-1 0,21-3 0,-29 2 0,0 0 0,-1 0 0,1 1 0,-1-2 0,1 0 0,0 0 0,-2-1 0,2 1 0,-1-1 0,0 0 0,0 0 0,0-1 0,-2 1 0,2 0 0,-1-2 0,1 1 0,-2-1 0,0 1 0,1-1 0,-1 0 0,0 1 0,0-1 0,-1-1 0,1 2 0,-1-2 0,0 1 0,0-8 0,-1 10 0,0-1 0,-1 0 0,1 0 0,-1 1 0,0-1 0,-1 0 0,1 0 0,0 1 0,-1-1 0,0 0 0,1 0 0,-1 2 0,-1-2 0,-1-4 0,2 7 0,0 0 0,0 0 0,0-1 0,0 1 0,0 0 0,-1 0 0,1 0 0,1-1 0,-2 1 0,1 0 0,0 1 0,-1-1 0,1 0 0,-1 0 0,0 1 0,1 0 0,-1 0 0,1-1 0,0 1 0,-1-1 0,0 1 0,1 0 0,-1 0 0,0 0 0,1 0 0,-1 0 0,0 1 0,1-1 0,0 0 0,-1 1 0,0-1 0,1 0 0,-1 1 0,-2 1 0,-1 1 0,-1 0 0,1 1 0,0-1 0,0 1 0,0 0 0,1 1 0,-1-1 0,1 1 0,1 0 0,-1-1 0,0 2 0,0 0 0,-3 9 0,1-3 0,2-2 0,0 1 0,0 0 0,1 2 0,1-2 0,-2 20 0,4-28 0,0-1 0,0 2 0,0-1 0,1 0 0,-1 0 0,1 0 0,0 0 0,0 0 0,-1 0 0,1 0 0,1-1 0,-1 1 0,1 0 0,0-1 0,0 1 0,0-1 0,0 0 0,-1 0 0,1 1 0,1-1 0,-1 0 0,1 0 0,0-1 0,-2 0 0,2 1 0,0 0 0,0-1 0,4 2 0,-3-2 0,1 1 0,-1-1 0,1 0 0,0 0 0,0-1 0,0 0 0,0 1 0,0-1 0,-1 0 0,1-1 0,0 1 0,-1 0 0,2-2 0,-2 1 0,0 0 0,1-1 0,8-4 0,-7 2 0,0-1 0,0-1 0,-1 2 0,1-2 0,-1-1 0,0 2 0,-1-2 0,1 2 0,-1-2 0,-1 0 0,1 0 0,4-14 0,13-21 0,-20 42 0,-1-1 0,1 0 0,0 1 0,0 0 0,0 0 0,0-1 0,0 1 0,0 0 0,0-1 0,-1 1 0,1 0 0,1 0 0,-1 0 0,0 0 0,0 0 0,0 0 0,0 0 0,0 0 0,0 0 0,0 0 0,0 1 0,0-1 0,0 0 0,-1 1 0,1-1 0,0 0 0,0 0 0,0 1 0,0 0 0,0-1 0,0 1 0,1 1 0,7 3 0,-3-3 0,0 0 0,0-2 0,1 2 0,-1-1 0,1-1 0,-2 1 0,2-1 0,-1-1 0,1 1 0,0-1 0,-2 0 0,2 0 0,-1 0 0,0-1 0,0 0 0,8-5 0,-4 2 0,0-1 0,0 0 0,-1-2 0,0 1 0,0-1 0,-1 0 0,0-1 0,8-11 0,-7 8 0,-1 1 0,-1-1 0,0 0 0,-1-1 0,0 1 0,4-18 0,-7 23 0,0-1 0,-2-1 0,0 2 0,1-2 0,-2 1 0,1-1 0,-1 1 0,0 0 0,-1-1 0,0 1 0,-2-12 0,-7 4 0,10 16 0,-1-1 0,1 1 0,0 0 0,-1 0 0,1 0 0,-1-1 0,1 1 0,0 0 0,-1 0 0,1 0 0,-1 0 0,1 0 0,0 0 0,0 0 0,0 0 0,-1 0 0,1 0 0,-1 0 0,1 0 0,-1 0 0,1 0 0,0 0 0,-1 1 0,1-1 0,-1 0 0,-1 2 0,0-1 0,0 1 0,1 0 0,-1-1 0,1 1 0,0-1 0,0 1 0,0 0 0,0 0 0,0 0 0,0 1 0,0-1 0,-1 3 0,-4 20 0,-1 1 0,2 0 0,3 0 0,-1 0 0,2 1 0,1-1 0,1 0 0,1 0 0,1 0 0,10 36 0,-9-49 14,2 0-1,-1-1 0,1-1 0,2 1 1,-2-1-1,2 0 0,0 0 1,13 11-1,-18-17-91,2 0 0,0-1 0,0 0-1,0 1 1,1-1 0,-1-1 0,1 1 0,-1-1 0,1 0-1,1 0 1,-2-2 0,2 2 0,-1-1 0,1-1 0,-1 1-1,1-1 1,0-1 0,6 1 0,16-8-6748</inkml:trace>
  <inkml:trace contextRef="#ctx0" brushRef="#br0" timeOffset="1599.36">4485 276 24575,'37'0'0,"34"1"0,127-16 0,-179 12 0,1 0 0,-2-2 0,1-1 0,0 1 0,-1-3 0,0 1 0,0-2 0,-1 0 0,0-1 0,0-1 0,19-18 0,-29 23 0,-1-1 0,0 1 0,-1-1 0,1 0 0,-1-1 0,5-11 0,-8 17 0,0-2 0,-1 1 0,1 0 0,-1-1 0,-1 2 0,1-2 0,0 0 0,-1 1 0,1 0 0,-1-1 0,0 1 0,0-1 0,0 1 0,-1 0 0,1-1 0,-1 0 0,0 1 0,-1-6 0,1 8 0,1 0 0,0 0 0,-1 0 0,1 0 0,-1 0 0,0 1 0,1-1 0,-1 0 0,0 1 0,1-1 0,-1 0 0,0 1 0,0-1 0,0 0 0,0 1 0,0-1 0,1 1 0,0-1 0,-1 1 0,0-1 0,0 1 0,0 0 0,0 0 0,-1-1 0,1 1 0,0 0 0,0 0 0,-1 0 0,0 1 0,0-1 0,0 1 0,-1 0 0,1 0 0,0 0 0,0 0 0,0 1 0,0-1 0,0 0 0,0 0 0,-3 4 0,-1 2 0,-2 1 0,2 0 0,-1 0 0,-8 15 0,6-4 0,0 1 0,2-1 0,-1 1 0,3 0 0,-7 30 0,11-41 0,-1 0 0,1 0 0,1 1 0,-1-2 0,2 2 0,-1-1 0,1 0 0,1 1 0,-1-2 0,1 2 0,1-2 0,0 1 0,0 0 0,9 14 0,-8-18 0,0 0 0,0-1 0,1 1 0,0 0 0,0-2 0,1 1 0,-1 0 0,0 0 0,2-2 0,-2 1 0,1 0 0,0 0 0,0-1 0,0 0 0,1-2 0,0 2 0,-1-1 0,9 0 0,9 0 0,1 0 0,-2-2 0,41-6 0,31-13-1365,-8-2-5461</inkml:trace>
  <inkml:trace contextRef="#ctx0" brushRef="#br0" timeOffset="3572.1">283 2040 24575,'0'-76'0,"0"732"0,0-1178 0,-1 633-65,-2-26-585,14 128 0,-2-161-6176</inkml:trace>
  <inkml:trace contextRef="#ctx0" brushRef="#br0" timeOffset="5236.07">521 2060 24575,'-21'-23'0,"15"17"0,0-1 0,0 1 0,0 0 0,-1 1 0,1-1 0,-2 0 0,1 2 0,-1-1 0,1 1 0,-1 0 0,-14-4 0,16 6 0,0 0 0,0 1 0,0 0 0,0 0 0,0 1 0,0 0 0,0 0 0,0 0 0,0 1 0,0 0 0,0 0 0,0 1 0,0-1 0,1 1 0,-8 4 0,5-3 0,1 2 0,0 0 0,0 0 0,0 1 0,0 0 0,1-1 0,0 2 0,0-1 0,-7 13 0,0 0 0,3-1 0,1 1 0,-1 2 0,3-2 0,-1 2 0,2 0 0,-6 39 0,6-29 0,3 1 0,1 0 0,1 0 0,2 0 0,6 46 0,-6-67 0,1 0 0,1-1 0,-1 1 0,2 0 0,0-1 0,0-1 0,0 2 0,2-2 0,0 1 0,-1-1 0,2 0 0,-1 0 0,2-1 0,-1 0 0,1 0 0,0-1 0,1 0 0,-1 0 0,16 8 0,-13-10 0,0 1 0,1-3 0,-1 1 0,2 0 0,-2-1 0,1 0 0,0-2 0,0 0 0,0 0 0,1-1 0,-1 0 0,0-1 0,0 0 0,0 0 0,0-2 0,14-4 0,-12 3 0,-1-2 0,0 0 0,0 0 0,0-2 0,-1 1 0,1-2 0,-2 1 0,0-1 0,0-1 0,0 0 0,-2 0 0,1-2 0,11-15 0,-8 5 0,0-2 0,-1 1 0,-1-1 0,-1-1 0,-2 1 0,11-50 0,-12 35 0,-2 0 0,-1 0 0,-4-76 0,0 108 0,0 1 0,0 0 0,0 0 0,-1 1 0,0-2 0,0 2 0,0-1 0,-1 0 0,0 1 0,1-1 0,-1 0 0,-5-5 0,7 10 0,0 1 0,0 0 0,0 0 0,-1 0 0,1 0 0,0-1 0,0 1 0,-1 0 0,1 0 0,0 0 0,0 0 0,-1 0 0,1 0 0,0 0 0,0 0 0,-1 0 0,1-1 0,0 1 0,-1 0 0,1 0 0,0 0 0,0 1 0,-1-1 0,1 0 0,0 0 0,0 0 0,0 0 0,0 0 0,0 0 0,0 0 0,-1 0 0,1 0 0,0 1 0,0-1 0,-1 0 0,1 0 0,0 0 0,0 1 0,0-1 0,-1 0 0,1 0 0,0 0 0,0 1 0,0-1 0,0 0 0,0 0 0,0 1 0,-1-1 0,1 0 0,0 1 0,0-1 0,-3 7 0,0-1 0,1 2 0,0-2 0,0 2 0,1-2 0,0 2 0,-1 8 0,0 56 0,2-57 0,1 16 0,1 0 0,2 0 0,14 61 0,-14-75 0,2-1 0,-1 0 0,2-1 0,0 1 0,1-1 0,0-1 0,2 1 0,-1-2 0,13 14 0,-17-21-136,1-2-1,-2 2 1,2-1-1,1-2 1,-2 2-1,2-1 1,-1-1-1,0 0 0,15 5 1,6-3-6690</inkml:trace>
  <inkml:trace contextRef="#ctx0" brushRef="#br0" timeOffset="5890.69">561 2436 24575,'16'-1'0,"1"-1"0,-1 0 0,0-2 0,0 0 0,0-1 0,-1 0 0,24-12 0,111-65 0,-130 70 0,48-27 0,0-5 0,-3-2 0,69-61 0,-126 99 0,0 1 0,-1-1 0,0 1 0,0-2 0,-1 1 0,0-2 0,9-16 0,-14 25 0,-1 0 0,0 0 0,1-1 0,-1 1 0,0 1 0,1-1 0,-1 0 0,0 0 0,0 0 0,0-1 0,0 1 0,0 0 0,0 0 0,0 0 0,0 0 0,-1-2 0,0 3 0,1 0 0,0-1 0,-1 1 0,1-1 0,-1 1 0,1 0 0,0-1 0,-1 1 0,1 0 0,-1-1 0,1 1 0,-1 0 0,1 0 0,-1-1 0,0 1 0,1 0 0,-1 0 0,1 0 0,-1 0 0,1 0 0,0 0 0,-1 0 0,0 0 0,-3 0 0,0 1 0,0 0 0,1 0 0,-1 0 0,0 0 0,0 0 0,-4 4 0,-3 2 0,0-1 0,1 2 0,0-1 0,0 2 0,0 0 0,2-1 0,-1 2 0,1 0 0,0 0 0,-7 14 0,12-19 0,0 0 0,1 0 0,-1 0 0,1 1 0,1-1 0,0 0 0,0 1 0,0-1 0,0 1 0,1 0 0,0 6 0,0-7 0,1-2 0,0 1 0,0 1 0,0-2 0,0 1 0,1 1 0,0-1 0,0-1 0,0 1 0,0-1 0,1 1 0,-2-1 0,2 0 0,0 0 0,1 1 0,3 2 0,1 0 0,-1-1 0,1-2 0,0 1 0,0 0 0,0 0 0,10 1 0,-7-1 0,0 0 0,22 11 0,-30-13 0,-1-1 0,1 1 0,-1 0 0,0 0 0,1 0 0,-1 1 0,1-1 0,-1 0 0,-1 0 0,1 1 0,-1 0 0,1 0 0,0 0 0,-1-1 0,2 7 0,-1 0 0,0 1 0,-2 0 0,2 13 0,-2-14 0,0-1 0,1 1 0,0-2 0,4 17 0,-3-21 0,-1 0 0,0 0 0,1-1 0,-2 0 0,2 1 0,0-1 0,0 1 0,0-1 0,0 1 0,0-1 0,0-1 0,0 1 0,0 0 0,1 0 0,0-1 0,-1 1 0,1-1 0,3 2 0,2-1 0,-1 0 0,2 0 0,-1-1 0,-1 1 0,2-2 0,-1 1 0,0-1 0,0 0 0,1-1 0,-2 0 0,2-1 0,-2 1 0,1-2 0,0 2 0,-1-2 0,1 0 0,-1-1 0,1 0 0,12-8 0,-3 0 0,0 0 0,0-1 0,-1-1 0,-1 0 0,0-1 0,20-28 0,-19 19 0,-1-1 0,-1 0 0,0-2 0,-2 1 0,13-41 0,-14 26 0,0-2 0,-4 1 0,4-43 0,-10 71 0,-1 1 0,0 0 0,-1-1 0,-2-18 0,2 29 0,1 0 0,-1 2 0,0-2 0,0 1 0,0-1 0,0 0 0,0 1 0,-1 0 0,1 0 0,-1 0 0,1 0 0,-4-4 0,4 5 0,0 0 0,0 1 0,-1-1 0,1 1 0,0 0 0,-1 0 0,1-1 0,0 1 0,0 0 0,-1-1 0,1 1 0,0 0 0,-1 0 0,1 0 0,-1 0 0,1 1 0,-1-1 0,1 0 0,0 1 0,0-1 0,0 0 0,-1 0 0,1 1 0,0-1 0,0 1 0,-2 1 0,-2 1 0,0 1 0,0 0 0,1-1 0,0 1 0,-1 1 0,1-1 0,1 0 0,-1 2 0,1-2 0,-1 1 0,-2 9 0,-5 8 0,-9 33 0,19-54 0,-6 19 14,2-1-1,0 1 0,1 0 0,1 0 1,1 1-1,0-1 0,2 1 1,2 22-1,-2-36-64,1-1 0,1 1-1,-2-1 1,2 1 0,0-1 0,1 1 0,-1-2-1,1 2 1,0-1 0,0 0 0,1 0 0,0-1-1,0 0 1,0 1 0,1-2 0,0 1-1,0 0 1,0-1 0,0 0 0,1 0 0,0 0-1,-1-1 1,1 0 0,0 0 0,1 0 0,-1-1-1,0 0 1,8 1 0,26 3-6775</inkml:trace>
  <inkml:trace contextRef="#ctx0" brushRef="#br0" timeOffset="6203.22">2027 2040 24575,'7'0'0,"9"0"0,8-7 0,11-2 0,9-6 0,10-1 0,3-4 0,2 1 0,-2 4 0,-11-3 0,-13 0 0,-13 2-8191</inkml:trace>
  <inkml:trace contextRef="#ctx0" brushRef="#br0" timeOffset="6438.34">2126 1683 24575,'0'7'0,"0"12"0,7 16 0,2 13 0,0 11 0,-3 9 0,6 5 0,0-6 0,5-6 0,6-14 0,-1-21 0,-3-16-8191</inkml:trace>
  <inkml:trace contextRef="#ctx0" brushRef="#br0" timeOffset="7013.29">2978 1584 24575,'-3'3'0,"-1"5"0,-7 1 0,-1 6 0,0-1-8191</inkml:trace>
  <inkml:trace contextRef="#ctx0" brushRef="#br0" timeOffset="7403.61">2899 1664 24575,'-14'-4'0,"14"4"0,0 0 0,0 0 0,-1 0 0,1 0 0,0 0 0,0 0 0,-1 0 0,1 0 0,0 0 0,0 0 0,-1-1 0,1 1 0,0 0 0,0 0 0,0 0 0,-1 0 0,1 0 0,0 0 0,0-1 0,0 1 0,-1 0 0,1 0 0,0 0 0,0 0 0,0-1 0,0 1 0,-1 0 0,1 0 0,0-1 0,0 1 0,0 0 0,0 0 0,0-1 0,0 1 0,0 0 0,0 0 0,0-1 0,0 1 0,0 0 0,0 0 0,0 0 0,0 0 0,0 0 0,0 0 0,0 0 0,0-1 0,0 1 0,0 0 0,1-1 0,-1 1 0,0 0 0,1 0 0,-1 0 0,0 1 0,1-1 0,-1 0 0,0 0 0,1 0 0,-1 0 0,0 0 0,1 0 0,-1 1 0,0-1 0,1 0 0,-1 0 0,0 0 0,0 0 0,1 0 0,-1 0 0,0 1 0,0-1 0,0 0 0,1 1 0,-1-1 0,0 0 0,0 1 0,0-1 0,0 0 0,0 1 0,0-1 0,1 0 0,-1 1 0,0-1 0,0 0 0,0 1 0,0 0 0,2 13 0,-4-2 0,-5-12 0,7-1 0,-1 0 0,1 1 0,0-1 0,-1 0 0,1 1 0,0-1 0,-1 0 0,1 0 0,0 0 0,0 0 0,0 0 0,0 0 0,0 1 0,0-1 0,0 0 0,0 0 0,0 0 0,1 0 0,-1 0 0,0 0 0,1 1 0,-1-1 0,0 1 0,1-1 0,-1 0 0,1 0 0,-1 0 0,1 1 0,1-2 0,-1 0 0,1 1 0,-1-1 0,0 1 0,1-1 0,-1 2 0,1-1 0,0 0 0,0-1 0,0 1 0,0 1 0,0-1 0,-1 0 0,1 1 0,1-1 0,-1 1 0,0-1 0,0 1 0,0 0 0,3 0 0,-4 0 0,-1 0 0,1 0 0,0 0 0,0 1 0,0-1 0,0 0 0,0 1 0,0-1 0,0 0 0,0 1 0,-1-1 0,0 1 0,1-1 0,0 1 0,0 0 0,-1-1 0,1 1 0,0 0 0,-1-1 0,1 1 0,0-1 0,-1 1 0,1 0 0,-1 0 0,0 0 0,1-1 0,-1 1 0,0 0 0,1 0 0,-1 0 0,0 0 0,0 0 0,0 0 0,0 0 0,0 0 0,0 0 0,0 0 0,0-1 0,0 1 0,-1 0 0,1 0 0,0 0 0,0 0 0,-1 0 0,0 1 0,1-1-3,0 0-1,0-1 1,-1 1 0,1 0-1,0 0 1,-1 0 0,1-1-1,0 1 1,-1-1-1,1 1 1,-1 0 0,0 0-1,1-1 1,-1 1 0,1 0-1,-1-1 1,1 1-1,0-1 1,-1 1 0,0-1-1,-1 1 1,1 0 11,1-1 1,-1 0-1,0-1 0,0 1 1,1 0-1,-1 0 1,0 0-1,1 0 1,-1 0-1,0-1 0,1 1 1,-1 0-1,0-1 1,1 1-1,-1 0 1,1-1-1,0 1 0,0-1 1,-1 1-1,1-1 1,-1 0-1,-2-2-156,1 1 1,-1-1-1,1 0 1,0-1-1,1 2 0,0-1 1,-1-1-1,1 0 1,-2-3-1,-1-21-6678</inkml:trace>
  <inkml:trace contextRef="#ctx0" brushRef="#br0" timeOffset="8162.49">2978 1902 24575,'-6'24'0,"6"-24"0,0 1 0,0-1 0,0 0 0,-1 1 0,1-1 0,0 0 0,0 1 0,0-1 0,-1 1 0,1-1 0,0 0 0,0 0 0,-1 1 0,1-1 0,0 0 0,-1 1 0,1-1 0,0 0 0,-1 0 0,1 0 0,0 1 0,-1-1 0,1 0 0,0 0 0,-1 0 0,1 0 0,-1 0 0,1 0 0,0 0 0,-1 0 0,1 0 0,0 0 0,0 0 0,0 0 0,-1 0 0,1 0 0,-1 0 0,1 0 0,0 0 0,-1 0 0,1 0 0,0 0 0,-1-1 0,1 1 0,0 0 0,-1 0 0,1-1 0,0 1 0,-1 0 0,1 0 0,0-1 0,-1 1 0,1 0 0,0-1 0,0 1 0,0 0 0,-1-1 0,1 0 0,0 0 0,-1 0 0,1 0 0,-1 0 0,1 0 0,0 0 0,-1 0 0,1 0 0,0 1 0,0-1 0,0 0 0,0 0 0,0 0 0,0 0 0,0 0 0,0 0 0,1 0 0,-1 0 0,0 0 0,0 0 0,1 0 0,-1 0 0,1 0 0,3 0 0,-7 14 0,6-12 0,-1 0 0,0 0 0,1 0 0,0-1 0,0 1 0,0 0 0,0-1 0,-1 1 0,1-1 0,1 0 0,2-1 0,-1 1 0,0 1 0,0-1 0,0 1 0,1 0 0,-2 0 0,2 1 0,-1 0 0,-1-1 0,1 1 0,0 0 0,-1 1 0,1-1 0,0 1 0,-1 1 0,0-2 0,0 2 0,0 0 0,-1 0 0,1-1 0,-1 1 0,1 0 0,3 9 0,-3-6 0,0 2 0,-1-2 0,-1 2 0,0-1 0,0 1 0,0-1 0,-1 0 0,0 1 0,-1-1 0,0 1 0,0 0 0,-1 0 0,-2 10 0,-3 6 7,0-2 0,-1-1 0,-1 2 0,-13 21 0,-51 85-1407,-19 10-5426</inkml:trace>
  <inkml:trace contextRef="#ctx0" brushRef="#br0" timeOffset="9005.41">283 1524 24575,'10'0'0,"24"0"0,46-2 0,57-20 0,69-18 0,81-20 0,68-16-3270,52-12 3270,31-1-3576,-3 4 3576,-23 16 0,-52 14-1689,-77 17 1689,-101 13 0,-94 19 0,-62 10 344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7.41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0 842 24575,'2'6'0,"-1"1"0,2 0 0,0 0 0,-1-1 0,2 1 0,-1-1 0,1 0 0,0 0 0,0 0 0,1 0 0,6 5 0,0 3 0,-6-8 0,0-1 0,1 1 0,0-1 0,-1 1 0,1-2 0,1 1 0,-1-1 0,1 1 0,0-1 0,0-1 0,15 6 0,-17-7 0,-1-1 0,2 0 0,-2 0 0,2 0 0,-2-1 0,2 0 0,-2 0 0,2 0 0,-1 0 0,0 0 0,0-1 0,0 0 0,0 0 0,0 0 0,0-1 0,-1 1 0,1-1 0,-1 0 0,1 0 0,5-4 0,5-4 0,-3 0 0,2 0 0,-2-1 0,-1-1 0,0 0 0,-1 0 0,1-1 0,-2 0 0,0 0 0,6-17 0,1-3 0,-1 0 0,-4-1 0,11-48 0,-6-7 0,-5 0 0,-4-1 0,-8-117 0,-5 135 0,3 61 0,-1 18 0,-1 29 0,3 39 0,4 1 0,4-1 0,4 0 0,28 107 0,-29-149-273,2-1 0,0 0 0,4-1 0,26 45 0,8-7-6553</inkml:trace>
  <inkml:trace contextRef="#ctx0" brushRef="#br0" timeOffset="331.45">357 757 24575,'80'-43'0,"24"-17"0,-3-3 0,180-151 0,-236 179 0,-44 34 0,-1 1 0,1-1 0,-1 1 0,1-1 0,-1 1 0,1-1 0,1 1 0,-2 0 0,1-1 0,0 1 0,-1 0 0,1-1 0,0 1 0,-1 0 0,1 0 0,0 0 0,0 0 0,-1 0 0,2 0 0,-1 0 0,0 0 0,-1 0 0,1 0 0,0 0 0,-1 0 0,1 0 0,0 1 0,0-1 0,-1 0 0,2 1 0,-1-1 0,-1 0 0,1 1 0,-1-1 0,1 1 0,-1-1 0,1 1 0,0-1 0,-1 1 0,0-1 0,1 1 0,-1 0 0,1-1 0,-1 1 0,0-1 0,2 1 0,-2 0 0,0 0 0,0-1 0,1 1 0,-1 0 0,0-1 0,0 1 0,0 0 0,0 1 0,1 6 0,0 1 0,-1 0 0,-1 15 0,1-18 0,-2 39 0,7 82 0,-3-111 0,2 0 0,-1 0 0,2-1 0,0 1 0,2-1 0,0 0 0,-1 0 0,18 23 0,-21-34 0,1 1 0,-1-1 0,2 0 0,-2 0 0,2 0 0,-1-1 0,1 1 0,-1-1 0,1 0 0,0 0 0,0 0 0,0-1 0,1 1 0,0-1 0,-1 0 0,1-1 0,-1 1 0,1-1 0,0 0 0,0 0 0,0-1 0,6 1 0,-4-2 0,-1 0 0,1 0 0,-1-1 0,0 0 0,0 0 0,0 0 0,0 0 0,-1-1 0,1 0 0,0-1 0,-1 1 0,0-1 0,0 0 0,0-1 0,-1 1 0,0-1 0,7-8 0,-4 3-341,0 1 0,-1-1-1,5-11 1,13-31-6485</inkml:trace>
  <inkml:trace contextRef="#ctx0" brushRef="#br0" timeOffset="424.37">1071 101 24575,'-8'0'0,"2"0"0</inkml:trace>
  <inkml:trace contextRef="#ctx0" brushRef="#br0" timeOffset="1188.76">1333 376 24575,'1'22'0,"3"0"0,0-1 0,11 33 0,-12-42 0,-2-8 0,2 7 0,1 1 0,-1-1 0,12 18 0,-15-27 0,1-1 0,0 1 0,-1-1 0,1 0 0,1 0 0,-2 1 0,1-1 0,0 0 0,0 0 0,0 0 0,0 0 0,0 0 0,0 0 0,1 0 0,-1 0 0,1 0 0,-1 0 0,0-1 0,1 1 0,0 0 0,-1-1 0,1 0 0,-1 1 0,1-1 0,-1 0 0,1 1 0,0-1 0,-1 0 0,1 0 0,-1 0 0,2 0 0,-2 0 0,1-1 0,-1 1 0,0 0 0,1-1 0,0 1 0,0-1 0,-1 1 0,2-2 0,6-4 0,-1-1 0,0 1 0,0-2 0,0 1 0,-1-1 0,-1 0 0,1 0 0,9-16 0,4-5 0,-2 3 0,-10 14 0,0 0 0,1 1 0,0-1 0,1 2 0,0-1 0,1 1 0,22-15 0,-33 25 0,1-1 0,0 1 0,-1-1 0,1 1 0,0 0 0,-1-1 0,1 1 0,1 0 0,-2 0 0,1-1 0,0 1 0,0 0 0,-1 0 0,1 0 0,0 0 0,0 0 0,-1 0 0,1 0 0,0 0 0,1 0 0,-1 0 0,-1 1 0,1-1 0,0 0 0,-1 0 0,1 1 0,0-1 0,1 1 0,0 1 0,-1-1 0,0 1 0,0-1 0,0 1 0,0-1 0,0 1 0,0-1 0,-1 1 0,2 0 0,-2 0 0,1-1 0,0 3 0,0 8 0,1 0 0,-2 24 0,0-30 0,0-5 0,0 13 0,1 0 0,4 23 0,-5-34 0,0-1 0,1 1 0,0-1 0,-1 1 0,1-1 0,0 1 0,0-1 0,1 0 0,-1 0 0,1 1 0,-1-1 0,1 0 0,-1 0 0,2 0 0,-1 0 0,0-1 0,-1 1 0,2 0 0,0-1 0,-1 1 0,5 1 0,-5-2 0,-1-1 0,2 0 0,-1 0 0,-1 0 0,1 0 0,-1 0 0,2 0 0,-1 0 0,-1 0 0,1-1 0,0 1 0,0-1 0,0 1 0,-1-1 0,1 1 0,-1-1 0,0 0 0,2 0 0,-2 0 0,0 0 0,1 0 0,-1 0 0,0 0 0,1 0 0,-1 0 0,1-2 0,28-39 0,-29 40 0,14-24 0,-7 12 0,0 0 0,1 0 0,1 0 0,13-15 0,-19 26 0,-2 0 0,1 1 0,0-1 0,0 1 0,0 0 0,1-1 0,-1 1 0,1 1 0,0-1 0,-1 0 0,1 1 0,0-1 0,0 1 0,0 0 0,1 1 0,-2-1 0,2 0 0,-1 1 0,-1 0 0,2 0 0,-1 0 0,0 0 0,8 2 0,12 4 0,-1 1 0,32 14 0,-30-11 0,47 13 0,-64-21 0,1 0 0,0-1 0,0 0 0,0 0 0,0-1 0,-1 0 0,1 0 0,0-1 0,14-3 0,-12 2 0,-2-1 0,1-1 0,-1 1 0,1-2 0,-1 1 0,-1-1 0,1 0 0,-2 0 0,2-1 0,-2 0 0,1-1 0,-1 1 0,0-1 0,-1-1 0,0 1 0,0-1 0,-1 0 0,1 0 0,-2 0 0,4-10 0,0-1 0,-1 0 0,-2 0 0,0-1 0,-2 1 0,1-1 0,-2 0 0,-2 0 0,-1-23 0,0 32 0,0 1 0,-1 0 0,-7-20 0,9 28 0,0 1 0,-1-1 0,1 1 0,0-1 0,-1 1 0,0 0 0,1-1 0,-1 1 0,0 0 0,0-1 0,0 1 0,-1 0 0,1 0 0,0-1 0,0 1 0,0 0 0,0 0 0,0 0 0,-2 1 0,2-1 0,0 0 0,-1 0 0,1 1 0,0-1 0,-2 1 0,2-1 0,-1 1 0,1 0 0,-1-1 0,1 1 0,-2 0 0,1 0 0,1 0 0,-4 0 0,2 1 0,1 0 0,0 0 0,-1 0 0,1 0 0,0 0 0,0 1 0,0-1 0,0 1 0,0-1 0,1 1 0,-1-1 0,-1 1 0,2 0 0,0 0 0,0 0 0,-2 2 0,-18 39 0,15-22 0,-1 1 0,2-1 0,1 1 0,0 0 0,2 0 0,1 0 0,4 39 0,-1-56 0,-1 1 0,0 0 0,1-1 0,-1 1 0,1-1 0,1 1 0,0-1 0,0 0 0,1 0 0,-1 0 0,1 0 0,-1-1 0,1 1 0,1-1 0,-1 0 0,8 4 0,-4-3 0,-1-1 0,1 1 0,1-2 0,0 1 0,-1-1 0,1 0 0,0-1 0,1 0 0,-1 0 0,10 0 0,11 0 0,0-2 0,-1 0 0,2-2 0,-2-1 0,55-12 0,-47 7-341,-1-2 0,0-2-1,59-25 1,-28 1-6485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6.42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396 498 24575,'0'-15'0,"0"-12"0,0 0 0,-3-1 0,-8-43 0,9 63 0,0 0 0,-2 1 0,1-1 0,0 1 0,-1 0 0,0 0 0,-1 0 0,0 0 0,0 1 0,-1 0 0,0 0 0,0 0 0,-1 0 0,1 1 0,-1 0 0,0 0 0,-9-4 0,13 7 0,0 0 0,-2 1 0,2-1 0,-2 0 0,2 1 0,-2 0 0,2 0 0,-1 0 0,-1 0 0,2 1 0,-2 0 0,1-1 0,0 1 0,0 0 0,-1 1 0,1-1 0,0 1 0,0 0 0,1-1 0,-2 2 0,1-1 0,0 0 0,1 1 0,-2-1 0,2 1 0,0 0 0,-1 0 0,1 1 0,-1-1 0,1 0 0,0 1 0,1 0 0,-2 0 0,2 0 0,-5 6 0,-5 9 0,-1 0 0,2 1 0,1 1 0,1 0 0,-6 20 0,-4 15 0,2 1 0,4 1 0,-11 96 0,22-112 0,1 0 0,2 0 0,2 0 0,3 0 0,21 79 0,-20-100 0,1 1 0,1-2 0,0 1 0,2-1 0,0 0 0,27 32 0,-30-43 0,-1 0 0,2 0 0,-1 0 0,1-1 0,0-1 0,1 1 0,0-1 0,0-1 0,0 1 0,0-1 0,2-1 0,-1 0 0,0 0 0,0-1 0,20 3 0,-17-5 0,1 0 0,-2-1 0,2 0 0,0-1 0,-2 0 0,2-1 0,-2 0 0,2-1 0,-2-1 0,16-5 0,-11 2 0,1-1 0,-1-1 0,-2-1 0,1 0 0,0-1 0,24-19 0,-22 13 0,0-2 0,-1 1 0,-1-2 0,-2 0 0,1-1 0,-2 0 0,-1-1 0,-2 0 0,1-1 0,10-39 0,-16 38 0,-1 0 0,-1 0 0,-1 0 0,-2 0 0,-2-25 0,-1 33 0,-1 18 0,-1 26 0,5-13 0,0 0 0,2 0 0,-1 0 0,2 0 0,0-1 0,1 0 0,1 1 0,1-2 0,-1 1 0,2-1 0,11 16 0,-14-24 0,-2 0 0,2 0 0,-1-1 0,1 1 0,0-1 0,0 0 0,1 0 0,-1-1 0,1 1 0,-1-1 0,2 0 0,-1 0 0,1-1 0,-1 0 0,0 0 0,1 0 0,-1 0 0,1-1 0,0 0 0,0-1 0,1 1 0,-2-1 0,1 0 0,0-1 0,-1 1 0,1-1 0,0 0 0,0-1 0,-1 0 0,9-3 0,-6 2 0,0-1 0,0 0 0,-1 0 0,0 0 0,0-1 0,0-1 0,-1 1 0,0-1 0,0 0 0,0 0 0,-1-1 0,0 0 0,0 0 0,-1 0 0,0 0 0,-1-1 0,1 0 0,-2 0 0,0 0 0,0 0 0,0 0 0,-1 0 0,-1-1 0,1 1 0,-1-1 0,-1-16 0,-7 3 0,7 22 0,0 0 0,0-1 0,-1 1 0,1 0 0,0-1 0,-1 1 0,1 0 0,0 0 0,-1-1 0,1 1 0,0 0 0,-2 0 0,2-1 0,0 1 0,-1 0 0,1 0 0,-1 0 0,1 0 0,0 0 0,-1 0 0,1 0 0,-1 0 0,1 0 0,0 0 0,-1 0 0,1 0 0,-1 0 0,0 0 0,-1 1 0,1-1 0,0 1 0,0 0 0,0 0 0,1 0 0,-1 0 0,0 0 0,0 0 0,-1 0 0,2 0 0,-1 1 0,1-1 0,-1 0 0,1 0 0,-1 1 0,1-1 0,0 0 0,-1 0 0,1 1 0,0-1 0,0 0 0,0 1 0,0-1 0,0 0 0,0 1 0,1 1 0,1 5 0,1-1 0,-1 1 0,0-1 0,1 0 0,1 0 0,0 0 0,0 0 0,0-1 0,2 1 0,-2-1 0,2 0 0,0 0 0,-1-1 0,2 0 0,0 1 0,-1-2 0,1 1 0,0-1 0,1 0 0,0 0 0,-2-1 0,2 0 0,15 4 0,-16-5 0,-1 0 0,2 0 0,-1 0 0,1-1 0,-2 0 0,2 0 0,0-1 0,-1 0 0,1 0 0,0 0 0,-2-1 0,2 0 0,-1 0 0,1-1 0,-1 0 0,1 0 0,-2 0 0,1-1 0,0 0 0,0 0 0,-1-1 0,0 0 0,0 0 0,0 0 0,0 0 0,-2-1 0,10-8 0,-6 2 0,0 0 0,-2 0 0,1 0 0,-1-1 0,-1 0 0,0 0 0,-1 0 0,0-1 0,-1 1 0,-1-1 0,-1 1 0,2-22 0,-3 26 0,-1-1 0,-1 1 0,1-1 0,0 1 0,-1 0 0,-1-1 0,0 1 0,0 0 0,-2 0 0,2 1 0,-1-1 0,-2 1 0,0 0 0,2 0 0,-3 0 0,1 1 0,0-1 0,-1 1 0,-12-7 0,17 11 0,-2 0 0,2 1 0,-1-1 0,0 1 0,0 0 0,0-1 0,-1 2 0,1-1 0,1 0 0,-2 0 0,1 1 0,0 0 0,-1-1 0,1 1 0,-1 0 0,1 1 0,0-1 0,-1 0 0,1 1 0,-4 1 0,5-2 0,1 1 0,-1 0 0,0 0 0,0 0 0,1 0 0,0 0 0,0 0 0,0 1 0,-2-1 0,2 0 0,0 1 0,1-1 0,-1 0 0,0 1 0,0-1 0,1 1 0,-1 0 0,0-1 0,1 1 0,0-1 0,-2 1 0,2 0 0,0-1 0,0 1 0,0 0 0,0-1 0,0 1 0,0 0 0,0-1 0,2 1 0,-2 0 0,1-1 0,-1 1 0,1-1 0,0 1 0,1 2 0,-1-2 0,0 1 0,1 0 0,0 0 0,-1-1 0,1 1 0,0-1 0,1 1 0,-1-1 0,0 0 0,0 0 0,1 0 0,0 0 0,-1 0 0,2 0 0,-2-1 0,1 1 0,1-1 0,5 2 0,3 1 0,0-2 0,2 1 0,22 0 0,-26-2 0,-1 0 0,1 0 0,-1 0 0,0 1 0,1 0 0,-1 1 0,9 3 0,-9 0 0,0 0 0,0 1 0,-1-1 0,0 2 0,0-1 0,-2 1 0,9 9 0,-8-8 0,1 0 0,-2-1 0,3 0 0,-1 0 0,13 7 0,-17-13 0,-1 0 0,1 0 0,0 0 0,0-1 0,0 1 0,0-1 0,0 0 0,1 0 0,-1 0 0,-1-1 0,2 1 0,-1-1 0,1 0 0,-1 0 0,0 0 0,0-1 0,1 1 0,-1-1 0,4-1 0,-1 0 0,0-1 0,-2 1 0,2-1 0,-1 0 0,-1-1 0,1 1 0,-1-1 0,1 0 0,-1 0 0,0 0 0,0-1 0,-1 0 0,0 0 0,0 0 0,-1 0 0,1 0 0,-1-1 0,1 1 0,-2-1 0,0 0 0,0 0 0,2-9 0,0-3 0,1 0 0,-3 0 0,0 0 0,-2 0 0,0 0 0,-3-29 0,1 37 0,-1-1 0,0 0 0,-9-20 0,12 29 0,-2 0 0,2-1 0,-1 2 0,0-1 0,0 0 0,0 0 0,0 0 0,0 0 0,-2 1 0,2-1 0,0 0 0,-1 1 0,1-1 0,-1 1 0,-1 0 0,2-1 0,-1 1 0,0 0 0,-1 0 0,1 0 0,0 0 0,0 1 0,-1-1 0,1 0 0,0 1 0,0-1 0,-5 1 0,6 0 0,-1 1 0,-1-1 0,1 1 0,1-1 0,-1 1 0,-1 0 0,2 0 0,-1-1 0,1 1 0,-1 0 0,1 1 0,-1-1 0,0 0 0,1 0 0,0 0 0,0 1 0,-1-1 0,0 1 0,1-1 0,1 1 0,-1-1 0,0 1 0,0 0 0,1-1 0,-1 1 0,1 0 0,-1 0 0,1-1 0,0 1 0,-1 0 0,1 0 0,0 0 0,0-1 0,1 4 0,-1 0 0,1 0 0,-1-1 0,1 1 0,0 0 0,0 0 0,1-1 0,0 1 0,0-1 0,0 1 0,1-1 0,4 7 0,-1-5 0,1-1 0,-2 0 0,2-1 0,0 1 0,-1-1 0,2 0 0,-1-1 0,1 1 0,0-1 0,0 0 0,0-1 0,-1 0 0,11 2 0,-4-1 0,1 1 0,-2 0 0,15 7 0,-23-8 0,-1 0 0,-1 0 0,2 1 0,-2-1 0,1 1 0,0 0 0,-2-1 0,2 1 0,-1 1 0,-1-1 0,1 0 0,-1 1 0,0-1 0,0 1 0,0-1 0,-1 1 0,0 0 0,1 5 0,-2-5 0,1 0 0,0 0 0,2 0 0,-2 0 0,1 0 0,0-1 0,0 1 0,2-1 0,-2 1 0,1-1 0,1 0 0,-1 0 0,1 0 0,0 0 0,6 5 0,-6-8 0,-2 0 0,0 0 0,1-1 0,0 1 0,0-1 0,-1 1 0,2-1 0,-2 0 0,1 0 0,0 0 0,0 0 0,-1 0 0,1-1 0,0 1 0,0-1 0,-1 1 0,1-1 0,0 0 0,-1 0 0,0 0 0,2 0 0,-2-1 0,0 1 0,3-3 0,9-4 0,-1-2 0,21-17 0,-32 25 0,9-8 0,0 0 0,-1-2 0,-1 1 0,0-1 0,0 0 0,-2 0 0,10-20 0,-14 26 0,0 1 0,-1-1 0,0 0 0,-1 1 0,0-1 0,0 0 0,1 0 0,-1 0 0,-1 0 0,0 0 0,-1 0 0,1 0 0,-2 0 0,1 0 0,0 0 0,-1 0 0,0 1 0,-1-1 0,-4-9 0,7 14 0,-2 0 0,1 0 0,1-1 0,-1 1 0,1 0 0,-1 0 0,0 0 0,0 0 0,0 0 0,0 0 0,-1 0 0,1 1 0,0-1 0,0 0 0,0 0 0,0 1 0,0-1 0,0 0 0,0 1 0,-1 0 0,0-1 0,1 1 0,0 0 0,-1-1 0,1 1 0,-1 0 0,1 0 0,-1 0 0,1 0 0,0 0 0,0 0 0,-2 1 0,2-1 0,0 0 0,-1 1 0,1-1 0,0 0 0,0 1 0,-1 0 0,1-1 0,0 1 0,0 0 0,-1-1 0,1 1 0,1 0 0,-1 0 0,-2 1 0,-1 3 0,-1-1 0,2 1 0,-2 0 0,2 0 0,0 0 0,0 1 0,1-1 0,-1 1 0,-1 6 0,2-6 0,0 0 0,1 1 0,0-1 0,1 0 0,-1 0 0,1 1 0,0-1 0,1 0 0,0 0 0,0 0 0,0 1 0,0-1 0,1 0 0,1 0 0,5 8 0,-5-8 0,1-1 0,2 1 0,-1-1 0,0 0 0,1 0 0,-1-1 0,1 1 0,1-1 0,-2-1 0,2 1 0,0-1 0,0 0 0,-1 0 0,12 3 0,-8-3 0,-1 0 0,2 0 0,-1-1 0,0 0 0,0-1 0,0 0 0,0 0 0,0-1 0,0 0 0,1 0 0,-1-1 0,0-1 0,0 1 0,0-1 0,-1-1 0,1 0 0,0 0 0,-1 0 0,0-1 0,0-1 0,0 1 0,-1-1 0,1-1 0,-1 1 0,0-1 0,-1 0 0,0-1 0,0 0 0,0 0 0,8-12 0,-5 4 0,-1-1 0,13-32 0,-14 29 0,23 77 0,-27-53 0,-1 0 0,2 0 0,-2-1 0,2 1 0,-1-1 0,2 1 0,-2-1 0,2-1 0,-2 1 0,2-1 0,1 1 0,-2-1 0,1-1 0,1 1 0,-2-1 0,2 0 0,0 0 0,-2-1 0,2 0 0,0 0 0,0 0 0,-1 0 0,1-1 0,9-1 0,-8 0 0,0 0 0,-1-1 0,1 1 0,-1-2 0,1 1 0,0-1 0,-1 0 0,-1 0 0,1-1 0,0 0 0,0 0 0,-2 0 0,2-1 0,-1 0 0,-1 0 0,1 0 0,-2 0 0,1-1 0,-1 0 0,7-10 0,-4 3 0,0-1 0,-1 0 0,-1 1 0,-1-2 0,5-27 0,-9 42 0,0 0 0,0-1 0,0 1 0,0 0 0,0 0 0,0 0 0,0-1 0,0 1 0,1 0 0,-1 0 0,0 0 0,0 0 0,0-1 0,0 1 0,0 0 0,0 0 0,0 0 0,0 0 0,0-1 0,1 1 0,-1 0 0,0 0 0,0 0 0,0 0 0,0 0 0,0 0 0,1-1 0,-1 1 0,0 0 0,0 0 0,0 0 0,0 0 0,1 0 0,-1 0 0,0 0 0,0 0 0,0 0 0,1 0 0,-1 0 0,0 0 0,0 0 0,0 0 0,13 7 0,17 26 0,-5-6 0,-15-19 0,0 0 0,0-1 0,1 1 0,0-2 0,1 1 0,0-2 0,0 1 0,1-1 0,-1-1 0,2 0 0,21 4 0,-30-7 0,2-1 0,0 1 0,-1-1 0,1 0 0,0 0 0,0-1 0,-1 0 0,1 0 0,0 0 0,0-1 0,-2 0 0,2 0 0,-1 0 0,0-1 0,0 1 0,0-1 0,-1-1 0,1 1 0,-1-1 0,0 0 0,1 0 0,-2 0 0,1 0 0,-1-1 0,5-6 0,-1-2 0,0 1 0,-1-1 0,-1 0 0,0-1 0,0 0 0,-2 0 0,-1 0 0,1 0 0,-2 0 0,0 0 0,-1-16 0,-2-5 0,0 0 0,-3 1 0,-12-48 0,11 61 0,-17-63 0,19 75 0,-1-1 0,0 1 0,-1 0 0,1 0 0,-2 1 0,-7-11 0,13 18 0,0 1 0,-2 0 0,2-1 0,0 1 0,0-1 0,0 1 0,-1 0 0,1-1 0,0 1 0,0 0 0,-1-1 0,1 1 0,0 0 0,0-1 0,-1 1 0,1 0 0,0 0 0,-1 0 0,1-1 0,-1 1 0,1 0 0,0 0 0,-1 0 0,1 0 0,-1-1 0,1 1 0,0 0 0,-2 0 0,2 0 0,-1 0 0,1 0 0,-1 0 0,1 0 0,0 0 0,-1 0 0,1 1 0,-1-1 0,1 0 0,0 0 0,-1 0 0,1 0 0,-1 1 0,1-1 0,0 0 0,-1 0 0,1 1 0,0-1 0,-2 0 0,-7 22 0,4 19 0,0 0 0,3-1 0,1 1 0,10 67 0,-8-94 0,1 0 0,2 1 0,0-1 0,1 0 0,-1-1 0,2 1 0,15 24 0,-17-32 0,0-1 0,-1 0 0,2 0 0,1 0 0,-2-1 0,2 1 0,-2-1 0,2 0 0,-1 0 0,2-1 0,-1 1 0,0-1 0,0 0 0,1-1 0,0 1 0,-1-1 0,1-1 0,0 1 0,0-1 0,9 1 0,-10-2-195,-1 1 0,0-2 0,0 1 0,0 0 0,0-1 0,8-2 0,22-10-6631</inkml:trace>
  <inkml:trace contextRef="#ctx0" brushRef="#br0" timeOffset="137.26">3465 244 24575,'4'0'0,"13"-7"0,17-3 0,17-17 0,14-11 0,11-7 0,9 4 0,2 7 0,-14 7-8191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0.2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340 171 24575,'-1'-5'0,"0"-1"0,-1 1 0,0 0 0,0 0 0,-1 0 0,0 1 0,1-1 0,-7-7 0,-4-5 0,11 13 0,0 0 0,0-1 0,-2 1 0,1 1 0,1-1 0,-3 0 0,2 1 0,-1 0 0,0-1 0,0 1 0,0 1 0,-1-1 0,1 0 0,-1 1 0,1 0 0,-1 0 0,0 0 0,0 0 0,0 1 0,0 0 0,-6-1 0,4 2 0,2 0 0,-1 0 0,0 1 0,1 0 0,-1 0 0,0 0 0,1 0 0,-1 1 0,1 0 0,0 0 0,0 0 0,-1 0 0,1 1 0,1 0 0,-1 0 0,1 0 0,-1 1 0,1-1 0,-5 6 0,-1 2 0,0 1 0,1 0 0,1 1 0,0-1 0,0 1 0,2 1 0,0-1 0,1 1 0,1 0 0,-1 0 0,0 15 0,-2 21 0,-1 89 0,8-113 0,1-1 0,1 0 0,2 1 0,0-1 0,2 0 0,15 39 0,-17-56 0,-1-1 0,1 1 0,1-1 0,-1 0 0,2-1 0,0 1 0,-1-1 0,1 0 0,1 0 0,12 9 0,-14-12 0,1 0 0,1 0 0,-2 0 0,2-1 0,0 0 0,0 0 0,-1 0 0,1-1 0,0 0 0,0 0 0,-1 0 0,1-1 0,0 0 0,0 0 0,13-2 0,-6-1 0,1 0 0,0-1 0,-2 0 0,1-1 0,-1-1 0,1 0 0,-2 0 0,0-1 0,1-1 0,-1 0 0,-1 0 0,-1-1 0,2 0 0,-2-1 0,13-17 0,-7 8 0,-1-1 0,-2 0 0,1-1 0,-3 0 0,0-1 0,-1 0 0,12-44 0,-17 46 0,-1-1 0,-1 1 0,-1-1 0,-1 0 0,-1 1 0,-1-1 0,-1 0 0,-1 1 0,-1 0 0,-14-38 0,1 33 0,17 25 0,-1-1 0,1 0 0,-1 1 0,1-1 0,-1 1 0,0 0 0,1-1 0,-1 1 0,0-1 0,1 1 0,-1 0 0,-1 0 0,2-1 0,-1 1 0,0 0 0,0 0 0,1 0 0,-1 0 0,0 0 0,-1 0 0,0 1 0,0 0 0,1 0 0,-1 0 0,1 0 0,-1 0 0,0 1 0,1-1 0,-1 0 0,1 1 0,0-1 0,0 1 0,0-1 0,-1 1 0,2 0 0,-1-1 0,0 1 0,1 0 0,-1 0 0,1 0 0,-1-1 0,1 1 0,0 3 0,-5 20 0,2-1 0,1 1 0,1 0 0,1 0 0,2 0 0,0-1 0,11 35 0,-4-24 0,1-1 0,2 0 0,3-1 0,30 52 0,-44-83-29,8 13 80,1-1 0,15 19 0,-22-30-151,0 0 1,1 0 0,-1 0 0,0 0-1,1 0 1,0 0 0,0-1 0,0 0-1,1 0 1,-2 0 0,2 0 0,-1 0-1,0-1 1,8 2 0,17-3-6727</inkml:trace>
  <inkml:trace contextRef="#ctx0" brushRef="#br0" timeOffset="666.72">317 552 24575,'-1'0'0,"1"-1"0,-1 1 0,1 0 0,-1 0 0,1 0 0,-2 0 0,2 0 0,-1 0 0,1 0 0,-1 0 0,1 0 0,-1 0 0,1 0 0,-1 0 0,1 1 0,-1-1 0,1 0 0,-1 0 0,1 0 0,-1 1 0,1-1 0,-2 0 0,2 1 0,0-1 0,-1 0 0,1 1 0,0-1 0,-1 0 0,1 1 0,0-1 0,-1 1 0,1-1 0,0 1 0,0-1 0,-1 1 0,1-1 0,0 1 0,0-1 0,0 1 0,0-1 0,0 1 0,0-1 0,0 1 0,0-1 0,0 1 0,0-1 0,0 2 0,1-1 0,-1 0 0,1 0 0,0 0 0,-1 0 0,1 0 0,1 0 0,-1-1 0,0 1 0,0 0 0,0 0 0,0-1 0,0 1 0,0 0 0,1-1 0,-1 1 0,0-1 0,1 1 0,-1-1 0,0 0 0,0 0 0,1 1 0,0-1 0,0 0 0,11 0 0,0-1 0,0 0 0,0 0 0,0-1 0,0-1 0,-1 0 0,0 0 0,21-9 0,93-47 0,-122 57 0,138-78 0,-123 68 0,-2 0 0,1-1 0,-2-1 0,1-1 0,17-22 0,-29 31 0,-2 0 0,2-1 0,-2 1 0,0-1 0,1 0 0,-2 0 0,0 0 0,2-10 0,-3 15 0,-1 1 0,1-1 0,-1 0 0,0 0 0,0 1 0,0-1 0,0 0 0,0 0 0,0 1 0,-1-1 0,1 0 0,0 0 0,-1 1 0,1-1 0,-1 0 0,-1 1 0,1-1 0,1 1 0,-1-1 0,0 1 0,0-1 0,-1 1 0,1 0 0,-1-1 0,1 1 0,-1 0 0,1 0 0,0 0 0,-1 0 0,0 0 0,0 0 0,0 0 0,1 1 0,-1-1 0,-1 1 0,2-1 0,-1 1 0,0-1 0,-3 1 0,2 0 0,-1 0 0,1 1 0,0-1 0,-2 1 0,2-1 0,0 1 0,-1 0 0,1 0 0,-1 1 0,1-1 0,0 1 0,-1-1 0,2 1 0,-1 0 0,0 0 0,0 0 0,1 0 0,0 1 0,-2-1 0,2 1 0,0-1 0,1 1 0,-2 0 0,1-1 0,1 1 0,-1 0 0,-1 5 0,0-3 0,1 0 0,1 0 0,-2 0 0,2 0 0,0 0 0,0 0 0,0 0 0,1 0 0,-1 1 0,1-1 0,1 0 0,-1 0 0,1 0 0,0 1 0,0-1 0,4 8 0,-2-9 0,1 0 0,-1 0 0,0-1 0,2 0 0,-2 1 0,2-1 0,-2 0 0,2-1 0,-1 1 0,2-1 0,-2 0 0,1 0 0,-1 0 0,2 0 0,-2-1 0,2 0 0,-1 0 0,8 1 0,5 0 0,0 0 0,0-1 0,37-3 0,-42 1 0,1-2 0,-1 1 0,0-1 0,0-1 0,0 0 0,11-6 0,-24 10 0,1-1 0,-1 1 0,2 0 0,-2-1 0,1 1 0,-1 0 0,1 0 0,-1 0 0,1-1 0,-1 1 0,1 0 0,-1 0 0,1 0 0,0 0 0,-1 0 0,1 0 0,-1 0 0,2 0 0,-2 0 0,1 1 0,-1-1 0,1 0 0,-1 0 0,1 0 0,-1 1 0,1-1 0,-1 0 0,1 0 0,-1 1 0,1-1 0,-1 0 0,0 1 0,1-1 0,-1 1 0,2-1 0,-2 0 0,0 1 0,1-1 0,-1 1 0,0-1 0,0 1 0,0-1 0,1 1 0,-1-1 0,0 1 0,0-1 0,0 1 0,0-1 0,0 1 0,0 0 0,0-1 0,0 1 0,0-1 0,0 1 0,0-1 0,0 1 0,-1 0 0,-7 44 0,3-28 0,4-10 0,1 0 0,0-1 0,0 1 0,0-1 0,1 1 0,0 0 0,1-1 0,0 0 0,0 1 0,0-1 0,1 0 0,0 0 0,0 0 0,1 0 0,-1 0 0,2-1 0,-1 1 0,1-1 0,-1 0 0,2-1 0,-2 1 0,2-1 0,1 1 0,7 4 0,-6-5 0,-1 0 0,1-1 0,-1 0 0,1 0 0,0-1 0,0 0 0,0 0 0,1 0 0,-1-1 0,0 0 0,1-1 0,-1 1 0,1-2 0,-2 1 0,2-1 0,-1 0 0,1 0 0,-1-1 0,0 0 0,0 0 0,11-6 0,-4 1 0,-1-1 0,0 0 0,-1-1 0,0-1 0,-1 0 0,-1 0 0,0-1 0,1-1 0,-2 1 0,-1-1 0,0-1 0,-1 0 0,0 0 0,-1 0 0,-1-1 0,5-15 0,-1 0 0,-2-1 0,0 1 0,-3-1 0,-1 0 0,-2-1 0,-3-56 0,1 78 0,-1 0 0,0 0 0,-1 0 0,-1 0 0,1 1 0,-1-1 0,-1 0 0,0 1 0,-1 0 0,-6-10 0,10 16 0,0 1 0,0-1 0,0 1 0,0 0 0,-1-1 0,1 1 0,-1 0 0,1-1 0,0 1 0,-1 0 0,0 0 0,0 0 0,1 0 0,-1 1 0,1-1 0,-1 0 0,-1 1 0,2-1 0,-1 1 0,0-1 0,-1 1 0,2 0 0,-5 0 0,3 0 0,1 1 0,-1 0 0,0 0 0,1 0 0,0 0 0,0 0 0,-1 1 0,1-1 0,0 0 0,0 1 0,-1 0 0,2-1 0,-1 1 0,0 0 0,-2 3 0,-3 6 0,0 0 0,0 0 0,0 1 0,2 0 0,-8 20 0,7-4 0,0 0 0,1 0 0,2 1 0,2-1 0,0 0 0,5 31 0,-1-39 0,0 1 0,0-1 0,3 0 0,0 0 0,1-1 0,1 0 0,1 0 0,1 0 0,15 21 0,-19-33-49,-1 0 1,2 0-1,0 0 0,0-1 0,1 0 1,-2 0-1,2 0 0,1-1 0,-1 0 1,1-1-1,0 1 0,0-1 0,0-1 1,0 0-1,1 0 0,-1 0 0,1-1 1,0-1-1,-1 1 0,1-1 0,1-1 1,-1 0-1,0 0 0,0-1 0,0 0 0,0 0 1,16-5-1,43-14-6777</inkml:trace>
  <inkml:trace contextRef="#ctx0" brushRef="#br0" timeOffset="886.61">1935 298 24575,'4'0'0,"5"0"0,14 0 0,18 0 0,20-7 0,10-3 0,10-10 0,3-2 0,0-4 0,-15 2-8191</inkml:trace>
  <inkml:trace contextRef="#ctx0" brushRef="#br0" timeOffset="1074.74">2101 44 24575,'4'0'0,"14"7"0,3 13 0,11 15 0,0 11 0,-6 13 0,1 10 0,-5 8 0,-5-1 0,2-4 0,-2-14-8191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7.1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 23892,'0'130'0,"130"-130"0,-130-130 0,-130 130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2.35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224 423 24575,'2'-4'0,"0"0"0,-1-1 0,1 0 0,0 1 0,-1-1 0,0 0 0,0 1 0,-1-1 0,0 0 0,0 0 0,0 1 0,-1-1 0,-1-9 0,2 13 0,-2-1 0,1 0 0,1 1 0,-1-1 0,0 1 0,1-1 0,-1 1 0,0 0 0,0-1 0,0 1 0,-1 0 0,0-1 0,1 1 0,0 0 0,0 0 0,-1 0 0,0 0 0,0 0 0,1 1 0,-1-1 0,1 0 0,-2 1 0,2-1 0,-1 1 0,0-1 0,1 1 0,-2 0 0,1 0 0,1 0 0,-1 0 0,0 0 0,0 0 0,0 0 0,0 0 0,1 1 0,-1-1 0,0 0 0,0 1 0,1 0 0,-1-1 0,-3 2 0,0 1 0,-2-1 0,0 1 0,2 0 0,-2 1 0,1-1 0,1 1 0,-1 0 0,0 1 0,2-1 0,-7 7 0,10-9 0,-2 0 0,2 0 0,-1 0 0,1 0 0,0 0 0,0 0 0,-1 1 0,1-1 0,0 0 0,1 0 0,-1 1 0,1-1 0,0 0 0,-1 1 0,1-1 0,0 1 0,0-1 0,0 0 0,1 1 0,-1-1 0,1 1 0,-1-1 0,1 0 0,0 1 0,1-1 0,-1 0 0,0 0 0,0 0 0,0 0 0,4 3 0,-1 0 0,1-1 0,0 0 0,0 0 0,0-1 0,1 1 0,0-1 0,-1 0 0,2 0 0,-1 0 0,0-1 0,0 0 0,7 2 0,15 1 0,46 6 0,-44-8 0,51 6 0,-36-5 0,-1 2 0,80 20 0,-119-25 0,1 0 0,-2 1 0,1-1 0,-1 1 0,1 0 0,-2 0 0,1 1 0,1-1 0,-2 1 0,1 0 0,0 0 0,0 0 0,-1 0 0,-1 1 0,2-1 0,2 5 0,-6-5 0,1 0 0,0 0 0,-1 0 0,2 0 0,-2 0 0,0 0 0,0 0 0,0 0 0,0 0 0,-2 0 0,2 0 0,-1 0 0,0 0 0,0 0 0,0 0 0,0 0 0,0-1 0,-1 1 0,0 0 0,0-1 0,0 1 0,1-1 0,-1 0 0,-6 5 0,-10 10 0,-1-1 0,-2 0 0,0-1 0,0-1 0,-1-1 0,-34 16 0,-153 54 0,191-76 0,13-5-36,-19 7-154,-1 0 0,-1-1 0,1-1 0,-2-1 1,2-1-1,-38 3 0,39-9-6636</inkml:trace>
  <inkml:trace contextRef="#ctx0" brushRef="#br0" timeOffset="1164.33">652 677 24575,'20'-9'0,"0"-1"0,-1-1 0,1 0 0,-2-2 0,0 0 0,29-28 0,-38 32 0,-1 0 0,-1-1 0,0 1 0,0-1 0,0-1 0,-2 1 0,0-1 0,0 0 0,-1 0 0,0 0 0,-1 0 0,-1-1 0,2-18 0,-4 23 0,-1-1 0,0 1 0,0-1 0,0 1 0,-1-1 0,-1 1 0,0 0 0,1 0 0,-2 0 0,0 0 0,0 0 0,-8-8 0,-7-8 0,0 1 0,-25-20 0,9 9 0,31 28 0,-26-21 0,29 25 0,1 1 0,-1 0 0,1-1 0,-1 1 0,1 0 0,-1-1 0,1 1 0,-1 0 0,1 0 0,-1-1 0,1 1 0,-1 0 0,1 0 0,-2 0 0,2 0 0,-1 0 0,0 0 0,1 0 0,-1 0 0,1 0 0,-1 0 0,1 0 0,-1 0 0,0 0 0,1 0 0,-1 1 0,1-1 0,-2 0 0,2 0 0,-1 1 0,1-1 0,-1 0 0,1 1 0,-1-1 0,1 0 0,0 1 0,-1-1 0,1 1 0,0-1 0,-1 1 0,1-1 0,0 1 0,-1-1 0,1 1 0,0-1 0,0 1 0,0-1 0,-1 1 0,1-1 0,0 1 0,0 0 0,0 0 0,-5 20 0,2 1 0,1-1 0,0 1 0,1-1 0,5 25 0,-3-7 0,2 50 0,4 0 0,27 125 0,-32-205 0,0 0 0,1 1 0,1-2 0,-1 1 0,2 0 0,-1-1 0,2 1 0,-1-1 0,8 8 0,-11-14 0,0 0 0,1 0 0,-1 0 0,0-1 0,1 1 0,0-1 0,-1 1 0,1-1 0,0 0 0,0 0 0,0 0 0,0 0 0,0 0 0,0 0 0,1-1 0,-2 0 0,1 1 0,1-1 0,-1 0 0,0 0 0,0-1 0,0 1 0,0 0 0,1-1 0,-2 0 0,1 0 0,1 0 0,-2 0 0,1 0 0,0 0 0,0-1 0,4-2 0,6-5 0,0 0 0,-2 0 0,1-1 0,-2 0 0,2-1 0,-3 0 0,1 0 0,-1-1 0,11-22 0,-9 16 0,2 0 0,0 1 0,20-19 0,-32 35 0,0 0 0,0 0 0,-1 0 0,1 1 0,0-1 0,1 0 0,0 0 0,-1 1 0,0-1 0,0 1 0,0-1 0,0 1 0,1 0 0,0-1 0,-1 1 0,0 0 0,0 0 0,1 0 0,-1 0 0,0 0 0,1 0 0,0 0 0,-1 0 0,0 0 0,0 1 0,1-1 0,0 1 0,1 0 0,32 21 0,-26-15 0,10 8 0,1-1 0,1-1 0,2-1 0,-1-1 0,1 0 0,34 10 0,-50-19 0,0 0 0,1 0 0,-2-1 0,2 0 0,0 0 0,-1-1 0,1 0 0,0 0 0,-1-1 0,0 0 0,12-2 0,-13 1 0,0 0 0,-1 0 0,0-1 0,0 1 0,1-1 0,-2 0 0,1 0 0,-1-1 0,1 1 0,-1-1 0,1 0 0,-2 0 0,2-1 0,-2 1 0,1 0 0,2-8 0,2-5 0,0 0 0,-2-1 0,-1 1 0,1-1 0,-3-1 0,1 1 0,-2 0 0,-1-1 0,-2-23 0,1 46 0,1 0 0,-1 0 0,1 0 0,0 0 0,0 0 0,2 0 0,-2 0 0,1 0 0,0 0 0,0 0 0,1-1 0,-1 1 0,0-1 0,2 0 0,-1 0 0,5 4 0,-1-2 0,-1 0 0,1 0 0,1-1 0,0 0 0,0 0 0,0-1 0,-1 0 0,15 3 0,-8-2 0,0-1 0,0-1 0,1 0 0,-1-1 0,0-1 0,1 0 0,-1 0 0,1-1 0,-1-1 0,0 0 0,23-6 0,-26 4 0,0 0 0,0-1 0,-1 0 0,0-1 0,0 0 0,-1 0 0,0-1 0,0 0 0,0 0 0,-1-1 0,10-11 0,-9 6 0,1 1 0,-2-2 0,0 1 0,-1-1 0,-1 0 0,0 0 0,5-22 0,-6 16 0,-1 0 0,-2 0 0,1 0 0,-3-1 0,0 1 0,-1 0 0,-2-1 0,0 1 0,0 0 0,-3 0 0,-1 1 0,-7-20 0,-12 0 0,26 37 0,-1 1 0,0 0 0,-1 0 0,1 0 0,0 0 0,0 0 0,0 0 0,-1 1 0,1-1 0,-1 0 0,1 0 0,-3 0 0,4 1 0,-1 0 0,0 0 0,1 0 0,-2 0 0,1 0 0,1 0 0,-1 0 0,1 0 0,-1 1 0,0-1 0,1 0 0,-1 0 0,1 1 0,-1-1 0,1 0 0,-1 1 0,1-1 0,-2 0 0,2 1 0,-1-1 0,1 1 0,-1-1 0,1 1 0,0-1 0,-1 1 0,1-1 0,0 1 0,-1-1 0,1 2 0,-5 6 0,2 0 0,0 0 0,0 0 0,1 0 0,0 0 0,1 0 0,-1 14 0,2 64 0,1-70 0,5 75 0,41 173 0,50 84 0,-47-180 0,-28-86 0,-6-20 0,2-1 0,45 96 0,-55-146 0,-3-11 0,2-19 0,-7 15 0,14-67 0,-5 0 0,-3-1 0,-3 0 0,-4 0 0,-4 0 0,-3 1 0,-3-1 0,-42-129 0,44 174 0,-1 0 0,-1 1 0,-17-26 0,23 46 0,1-1 0,-2 0 0,2 1 0,-2 0 0,-1 0 0,-10-8 0,14 12 0,0 0 0,-1-1 0,1 2 0,-2-1 0,2 0 0,0 1 0,-2 0 0,2-1 0,-2 1 0,2 1 0,-2-1 0,1 0 0,0 1 0,-8 0 0,11 0 0,-1 0 0,1 0 0,-1 0 0,1 0 0,0 1 0,-1-1 0,1 0 0,0 1 0,0-1 0,-1 1 0,1-1 0,-1 1 0,1 0 0,0-1 0,0 1 0,0 0 0,-1 0 0,2 0 0,-1 0 0,0 0 0,0 0 0,0 1 0,0-1 0,1-1 0,0 1 0,0 0 0,0 0 0,0-1 0,0 1 0,0 0 0,0 0 0,0-1 0,0 1 0,0 0 0,0 0 0,1-1 0,-1 1 0,0 0 0,0-1 0,1 1 0,-1 0 0,0-1 0,1 1 0,-1 0 0,1-1 0,-1 1 0,1-1 0,-1 1 0,2-1 0,-1 1 0,-1-1 0,1 1 0,-1-1 0,1 1 0,0-1 0,-1 0 0,1 1 0,0-1 0,0 0 0,6 2 0,1 0 0,-1 0 0,0-1 0,-1 0 0,2 0 0,-1 0 0,1-1 0,-1 0 0,0 0 0,0-1 0,0 0 0,1 0 0,-1 0 0,-1-1 0,1 0 0,11-4 0,0-1 0,-1 0 0,0-1 0,0-1 0,-1 0 0,16-13 0,-19 12 0,0-1 0,-1 0 0,0-1 0,0 0 0,-2-1 0,0 0 0,0-1 0,-2 0 0,12-25 0,-15 29 0,-1-1 0,0 0 0,-2 0 0,1 0 0,-2 0 0,2 0 0,-3 0 0,1-1 0,-2 1 0,1 0 0,-3 0 0,2 0 0,-2 0 0,-4-12 0,7 21 0,-1 0 0,1 1 0,-1-1 0,1 1 0,-1-1 0,0 1 0,-1-1 0,1 1 0,0-1 0,0 1 0,0 0 0,0 0 0,0-1 0,0 1 0,-2 0 0,2 0 0,0 0 0,-2 0 0,2 0 0,1 1 0,0 0 0,-2 0 0,2 0 0,-1 0 0,1 1 0,0-1 0,-1 0 0,1 0 0,0 0 0,-1 0 0,1 0 0,0 0 0,-1 1 0,1-1 0,0 0 0,-1 0 0,1 0 0,0 1 0,0-1 0,-1 0 0,1 0 0,0 1 0,0-1 0,-1 0 0,1 1 0,0-1 0,0 1 0,-7 21 0,7-6 0,1 1 0,0-1 0,1 1 0,2-1 0,-1 0 0,12 29 0,48 94 0,-59-130 0,1 0-59,12 25 152,31 46 1,-44-72-219,2-1 1,0 0-1,0 0 1,0 0 0,1-1-1,1 1 1,-2-2 0,2 1-1,0-1 1,0 0-1,18 8 1,3-6-6702</inkml:trace>
  <inkml:trace contextRef="#ctx0" brushRef="#br0" timeOffset="1306.45">2412 381 24575,'5'0'0,"8"0"0,11 0 0,18-7 0,17-3 0,11-6 0,-3-1 0,-12-8 0,-3 0 0,-10 4-8191</inkml:trace>
  <inkml:trace contextRef="#ctx0" brushRef="#br0" timeOffset="1446.55">1389 191 24575,'0'7'0,"8"2"0,16 0 0,14-1 0,1-3-8191</inkml:trace>
  <inkml:trace contextRef="#ctx0" brushRef="#br0" timeOffset="1884.37">2960 296 24575,'8'0'0,"11"0"0,22-7 0,25-2 0,21-8 0,20 0 0,8-4 0,-7 1 0,-15-4 0,-22 3-8191</inkml:trace>
  <inkml:trace contextRef="#ctx0" brushRef="#br0" timeOffset="2054.33">3269 0 24575,'0'11'0,"0"10"0,4 17 0,2 16 0,15 13 0,5 9 0,9 7 0,0 0 0,1-7 0,-5-17-8191</inkml:trace>
  <inkml:trace contextRef="#ctx0" brushRef="#br0" timeOffset="3991.85">1127 1461 24575,'0'-4'0,"5"-1"0,1 8 0,-2 10 0,-7-1 0,-5-9 0,3-5 0,8-3 0,1 4 0,2 5 0,-10 2 0,2 0 0,3-1 0,4 2 0,-10 8 0,-2-3 0</inkml:trace>
  <inkml:trace contextRef="#ctx0" brushRef="#br0" timeOffset="5749.59">1080 1609 24575,'0'-8'0,"5"-1"0,-1 3 0,2 7 0,-6 4 0,-7 0 0,-1-8 0,-1-7 0,10-1 0,9 0 0,4 10 0,-11 5 0,-4-1 0,-3-17 0,0-9 0,4 0 0,3 3-8191</inkml:trace>
  <inkml:trace contextRef="#ctx0" brushRef="#br0" timeOffset="6943.21">1127 1884 24575,'0'0'0,"-1"1"0,1-1 0,-1 1 0,0-1 0,1 0 0,-1 1 0,0-1 0,1 0 0,-1 0 0,0 1 0,1-1 0,-2 0 0,1 0 0,1 0 0,-1 0 0,0 0 0,0 0 0,1 0 0,-1 0 0,0 0 0,-2 0 0,5 0 0,-2-1 0,0 1 0,0 0 0,0 0 0,0 0 0,1 0 0,-1 0 0,0-1 0,0 1 0,0 0 0,0 0 0,0 0 0,0 0 0,1-1 0,-1 1 0,0 0 0,0 0 0,0 0 0,0-1 0,0 1 0,0 0 0,0 0 0,0 0 0,0-1 0,0 1 0,0 0 0,0 0 0,0 0 0,0-1 0,0 1 0,0 0 0,0 0 0,0 0 0,0-1 0,-1 1 0,1 0 0,0 0 0,0 0 0,0 0 0,0-1 0,0 1 0,0 0 0,-1 0 0,1 0 0,0 0 0,0 0 0,0-1 0,0 1 0,-2 0 0,2 0 0,0 0 0,3-1 0,-1 0 0,1 1 0,0-1 0,-1 1 0,1 0 0,-1-1 0,1 1 0,0 0 0,-1 0 0,2 1 0,-2-1 0,0 0 0,2 1 0,-2-1 0,3 2 0,-3-2 0,-1 1 0,0-1 0,0 0 0,0 1 0,0-1 0,-1 1 0,1-1 0,0 1 0,1 0 0,-1-1 0,0 1 0,-1 0 0,1-1 0,0 1 0,-1 0 0,1 0 0,-1 0 0,1 0 0,0 0 0,-1-1 0,0 1 0,1 0 0,-1 0 0,0 0 0,2 0 0,-2 0 0,0 0 0,0 0 0,0 1 0,0-1 0,0 0 0,0 0 0,0 0 0,0 0 0,-2 0 0,2 0 0,-1 1 0,1-1 0,0-1 0,-1 1 0,1 0 0,0-1 0,-1 1 0,1-1 0,0 1 0,-1-1 0,1 1 0,-1-1 0,1 1 0,-1-1 0,0 1 0,1-1 0,-1 0 0,1 1 0,-2-1 0,1 0 0,1 0 0,-1 1 0,0-1 0,1 0 0,-1 0 0,0 0 0,1 0 0,-1 0 0,0 0 0,1 0 0,-2 0 0,1 0 0,1 0 0,-1 0 0,0 0 0,1 0 0,-1-1 0,0 1 0,1 0 0,-1-1 0,0 1 0,1 0 0,-2-1 0,2 1 0,-1 0 0,1-1 0,-1 1 0,0-2 0,1 2 0,-1 0 0,1 0 0,0-1 0,-1 1 0,1-1 0,0 1 0,-1 0 0,1-1 0,0 1 0,-1-1 0,1 1 0,0-1 0,0 1 0,0 0 0,0-1 0,-2 1 0,2-1 0,0 1 0,0-1 0,0 1 0,0-1 0,0 1 0,0-1 0,0 1 0,0-1 0,2 0 0,-2 0 0,1 1 0,0-1 0,-1 0 0,1 1 0,-1-1 0,1 1 0,0-1 0,-1 1 0,1-1 0,0 1 0,1 0 0,-2-1 0,1 1 0,0 0 0,0 0 0,0-1 0,-1 1 0,1 0 0,0 0 0,0 0 0,2 0 0,6 0 14,-8-2-416,-3-2-575</inkml:trace>
  <inkml:trace contextRef="#ctx0" brushRef="#br0" timeOffset="8154.63">961 1503 24575,'0'-2'0,"1"0"0,-1 1 0,0-1 0,1 0 0,0 1 0,-1-1 0,2 0 0,-1 1 0,0-1 0,-1 1 0,1-1 0,1 1 0,-1 0 0,0-1 0,1 1 0,-1 0 0,1 0 0,-1 0 0,0 0 0,1 0 0,0 0 0,0 0 0,0 0 0,-1 0 0,1 1 0,0-1 0,0 1 0,0-1 0,0 1 0,-1 0 0,2 0 0,-1 0 0,0-1 0,3 2 0,0-2 0,1 1 0,1 0 0,-2 1 0,1-1 0,-1 1 0,1 0 0,0 0 0,-1 1 0,0-1 0,0 1 0,7 3 0,-10-4 0,0 1 0,-1-1 0,2 1 0,-1-1 0,-1 1 0,0-1 0,1 1 0,-1 0 0,1 0 0,-1-1 0,0 1 0,0 0 0,0 0 0,0 0 0,-1 0 0,1 0 0,0 1 0,-1-1 0,0 0 0,0 0 0,2 0 0,-2 0 0,-2 0 0,2 1 0,0-1 0,0 0 0,-1 0 0,1 0 0,-1 0 0,0 0 0,0 0 0,1 0 0,-1 0 0,-1 0 0,0 0 0,1-1 0,0 1 0,-1 0 0,1-1 0,-1 1 0,0-1 0,0 1 0,1-1 0,-1 0 0,0 1 0,-1-1 0,1 0 0,0 0 0,0-1 0,-1 1 0,1 0 0,0-1 0,-4 1 0,-12-2 0,18 1 0,-1 0 0,1-1 0,0 1 0,0 0 0,0 0 0,0-1 0,-1 1 0,1 0 0,0-1 0,0 1 0,0 0 0,0 0 0,0-1 0,0 1 0,0 0 0,0-1 0,0 1 0,0 0 0,0-1 0,0 1 0,0 0 0,0-1 0,0 1 0,0 0 0,0 0 0,0-1 0,0 1 0,1 0 0,-1-1 0,1 0 0,0-1 0,-1 1 0,1-1 0,2 1 0,-2 0 0,0 0 0,0 0 0,0 0 0,1 0 0,0 0 0,-1 0 0,1 0 0,-1 0 0,1 0 0,-1 1 0,5-2 0,-4 2 0,1-1 0,-1 1 0,0 0 0,0 0 0,1 0 0,-1 0 0,0 0 0,0 0 0,1 0 0,-2 1 0,1-1 0,0 1 0,0-1 0,1 1 0,-1 0 0,0 0 0,0 0 0,0 0 0,0 0 0,0 0 0,-1 0 0,3 2 0,-3-2 0,0 0 0,-1 0 0,1 0 0,-1 0 0,1 0 0,-1 0 0,1 0 0,-1 1 0,0-1 0,0 0 0,1 0 0,-1 0 0,0 0 0,0 0 0,0 1 0,0-1 0,-1 0 0,1 0 0,0 0 0,0 0 0,-1 1 0,1-1 0,0 0 0,-1 0 0,1 0 0,-1 0 0,0 0 0,1 0 0,-1 0 0,-1 0 0,1-1 0,1 1 0,-1 0 0,0 0 0,0 0 0,0-1 0,0 1 0,-3 0 0,1 2 0,-2-1 0,1 0 0,-1 0 0,1 0 0,-1-1 0,1 1 0,-2-1 0,2 0 0,-7 0 0,9 0 0,1-1 0,-1 0 0,1 0 0,0 1 0,-1-1 0,0 0 0,1 0 0,0 0 0,-1-1 0,1 1 0,0 0 0,-2 0 0,2-1 0,0 1 0,0-1 0,0 1 0,-1-1 0,1 1 0,-1-1 0,1 0 0,0 0 0,0 1 0,0-1 0,0 0 0,0 0 0,0 0 0,1 0 0,-2 0 0,1 0 0,0 0 0,1-1 0,-1 1 0,1 0 0,-1 0 0,0-2 0,1 1 0,1 1 0,-1-1 0,0 1 0,1 0 0,-1-1 0,1 1 0,-1-1 0,1 1 0,0 0 0,-1 0 0,2-1 0,-1 1 0,0 0 0,0 0 0,0 0 0,0 0 0,0 0 0,0 0 0,1 0 0,0 0 0,-1 1 0,0-1 0,0 0 0,1 1 0,0-1 0,0 1 0,-1-1 0,0 1 0,1 0 0,-1 0 0,3-1 0,4 0 0,-2-1 0,2 1 0,-1 0 0,1 1 0,11-1 0,-16 2 0,0-1 0,0 1 0,-1 0 0,1 0 0,0 0 0,-1 0 0,0 0 0,1 0 0,0 1 0,-1-1 0,1 1 0,-2-1 0,1 1 0,0 0 0,3 2 0,-5-3 0,1-1 0,-1 1 0,1 0 0,-1 0 0,1-1 0,-1 1 0,0 0 0,1 0 0,-1-1 0,0 1 0,0 0 0,0 0 0,1 0 0,-1-1 0,0 1 0,0 0 0,0 0 0,0 0 0,0-1 0,-1 1 0,1 0 0,0 0 0,0 0 0,0 0 0,-1-1 0,1 1 0,0 0 0,-1 0 0,1-1 0,-1 1 0,1 0 0,-1-1 0,1 1 0,-1-1 0,1 1 0,-2 0 0,1-1 0,1 1 0,-1-1 0,0 1 0,0-1 0,1 0 0,-1 1 0,0-1 0,0 0 0,-1 1 0,0-1 0,1 0 0,0 1 0,-1-1 0,1 0 0,-2 0 0,2 0 0,0 0 0,-1 0 0,1 0 0,-2-1 0,2 1 0,0 0 0,-1-1 0,1 1 0,0-1 0,-2 1 0,2-1 0,0 1 0,0-1 0,-1 0 0,1 0 0,0 0 0,-1 0 0,1 0 0,0 0 0,0 0 0,0 0 0,1 0 0,-1 0 0,0 0 0,0-1 0,1 1 0,-2 0 0,2-1 0,-1 1 0,1 0 0,0-1 0,-1 1 0,1 0 0,0-1 0,0 1 0,0-1 0,0 1 0,0 0 0,0-1 0,1 1 0,-1-1 0,0 1 0,1 0 0,-1-1 0,2 1 0,-2 0 0,2-2 0,0 0 0,0 1 0,2 1 0,-2-1 0,0 0 0,2 0 0,-2 1 0,1 0 0,1-1 0,-1 1 0,-1 0 0,6-1 0,-7 2 0,0-1 0,0 1 0,1 0 0,-1 0 0,0-1 0,0 1 0,0 0 0,0 0 0,0 0 0,0 0 0,1 0 0,-1 0 0,0 0 0,0 1 0,0-1 0,0 0 0,0 0 0,0 1 0,1-1 0,-1 1 0,0-1 0,0 1 0,0-1 0,0 1 0,0 0 0,-1-1 0,1 1 0,1 0 0,-2-1 0,1 1 0,0 0 0,-1 0 0,1 0 0,-1 0 0,1 0 0,0 1 0,-3 9-1365,-5-1-5461</inkml:trace>
  <inkml:trace contextRef="#ctx0" brushRef="#br0" timeOffset="51151.45">1199 1080 24575,'0'-1'0,"-1"0"0,1 0 0,0 1 0,-1-1 0,1 0 0,0 1 0,-1-1 0,1 0 0,-1 1 0,1-1 0,-1 1 0,1-1 0,-1 1 0,-1-1 0,2 1 0,-1-1 0,1 1 0,-1-1 0,0 1 0,0 0 0,1 0 0,-1-1 0,0 1 0,0 0 0,1 0 0,-2 0 0,1 0 0,-1-1 0,-27 0 0,6 4 0,1 1 0,-1 1 0,2 1 0,-1 1 0,-31 14 0,26-10 0,0-1 0,-1-1 0,-32 6 0,-39-6 0,79-9 0,1 1 0,-1 1 0,1 1 0,-2 0 0,2 1 0,0 1 0,-25 10 0,39-13 0,-1 2 0,0-1 0,1 1 0,0-1 0,0 1 0,0 0 0,1 1 0,0-1 0,0 1 0,-1 0 0,2 0 0,-1 0 0,2 0 0,-1 0 0,1 1 0,-1-1 0,1 1 0,0-1 0,1 1 0,0 0 0,0 0 0,1 0 0,-2-1 0,2 1 0,2 7 0,1 16 0,0-1 0,3-1 0,19 55 0,-18-58 0,23 70-1365,-19-57-5461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20:36.57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833 0 24575,'0'2'0,"15"362"0,-9-171 0,-1-36 0,-1-121 0,4 0 0,1 0 0,23 56 0,-10-28 0,5 52 0,-23-91 0,0 0 0,2 0 0,2-1 0,-1 1 0,17 28 0,-5-28 120,-19-25-149,0 1 0,1-1 0,-1 1 0,0-1-1,0 0 1,1 1 0,-1-1 0,0 1 0,0-1 0,1 0 0,-1 1 0,0-1-1,2 0 1,-2 1 0,0-1 0,1 0 0,-1 1 0,1-1 0,-1 0 0,1 0 0,-1 0-1,0 1 1,1-1 0,-1 0 0,1 0 0,-1 0 0,1 0 0,-1 0 0,1 0-1,-1 0 1,2 0 0,-2 0 0,1 0 0,-1 0 0,1 0 0,-1 0 0,1-1-1,-1 1 1,1 0 0,-1 0 0,0 0 0,1-1 0,-1 1 0,1 0 0,-1 0 0,0-1-1,1 1 1,-1 0 0,0-1 0,2 0 0,1-10-6797</inkml:trace>
  <inkml:trace contextRef="#ctx0" brushRef="#br0" timeOffset="1159.24">0 445 24575,'0'1'0,"1"25"0,7 38 0,34 160 0,-12-79 0,-19-95 0,20 56 0,-18-61 0,-2 0 0,8 61 0,-18-88 0,2-2 0,-1 1 0,1 0 0,2 0 0,0-1 0,1 0 0,2 0 0,12 24 0,-16-38 0,-2 1 0,1-1 0,1 1 0,-1-1 0,-1 0 0,2 0 0,0 0 0,-1-1 0,1 1 0,-1-1 0,2 0 0,-2 0 0,0 0 0,2 0 0,-2 0 0,2-1 0,-2 1 0,2-1 0,-1 0 0,6-1 0,11 0 0,-1-2 0,34-6 0,-48 7 0,105-15 0,0 4 0,183-1 0,-178 11 0,-83 0-1365,-11-1-5461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3.2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78 8192,'2'0'18022,"20"-6"-18022,21-3 0,19 1 0,19-6 0,9 1-2971,-8 2 2971,-24 2-15051,-25 4 15051,-19 2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2.3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17 182 8192,'-17'0'18022,"28"0"-18022,16 0 0,12 0 0,9 0 0,1 0 0,-9 0 0</inkml:trace>
  <inkml:trace contextRef="#ctx0" brushRef="#br0" timeOffset="121.99">94 316 8192,'7'0'2971,"11"0"-2971,14-3 5848,0-1-5848</inkml:trace>
  <inkml:trace contextRef="#ctx0" brushRef="#br0" timeOffset="356.07">344 28 8192,'-16'-20'18022,"19"12"-18022,10 9 0,11 10 0,6 11 0,6 7 0,-4 6 0,-1 6 0,-5 4 0,-8 3 0,-22 3 0,-25 0 0,-23-2 0,-12-3 0,-3-10 0,11-10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0.9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6 463 8192,'-5'0'18022,"20"0"-18022,10 0 0,21-10 0,19-3 0,15-6 0,6 1 0,-1 2 0,-11 5 0,-23 4 0,-25 3 0,-22 2 0,-17 2 0,-13 1 0,-2 0 0</inkml:trace>
  <inkml:trace contextRef="#ctx0" brushRef="#br0" timeOffset="325.45">218 59 8192,'8'-30'16796,"2"15"-16796,9 2 1226,0 13-1226,8 16 0,-2 19 0,2 20 0,-4 23 0,-5 15 0,-7 4 0,-4-7 0,-4-9 0,-2-12 0,-2-15 0,0-23 0,0-16 0</inkml:trace>
  <inkml:trace contextRef="#ctx0" brushRef="#br0" timeOffset="905.25">815 348 8192,'13'0'18022,"11"0"-18022,11 3 0,13 1 0,7 0 0,-1 0 0,-4-2 0,-7 0 0,-11-2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0 366 8192,'14'0'2971,"16"0"2877,20-3-5848,19-2 7957,16-5-7957,3-2 1246,-2-6-1246,-7 2 0,-17-5 0,-18 2 0</inkml:trace>
  <inkml:trace contextRef="#ctx0" brushRef="#br0" timeOffset="220.14">289 0 8192,'3'10'18022,"2"13"-18022,-1 16 0,6 14 0,1 8 0,-1 3 0,4 1 0,-1-4 0,5-13 0,-1-11 0,-3-11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0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1 236 8192,'1'8'18022,"23"-4"-18022,19-1 0,23-7 0,13-3 0,-1-1 0,-6-5 0,-17 0 0</inkml:trace>
  <inkml:trace contextRef="#ctx0" brushRef="#br0" timeOffset="139.95">232 294 8192,'9'0'2971,"17"0"2877,14 0-5848,13 0 0,10-7-3356,8-2 3356,2-5-5463,-12-2 5463</inkml:trace>
  <inkml:trace contextRef="#ctx0" brushRef="#br0" timeOffset="328.97">636 24 8192,'-2'-23'18022,"22"33"-18022,16 14 0,12 12 0,8 10 0,1 7 0,-10 1 0,-12 2 0,-16 0-3356,-21-3 3356,-16-3-5484,-12-10 5484,-8-10-7956,4-8 7956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4.9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0 443 8192,'4'0'11332,"6"0"-11332,16-3 6690,16-2-6690,18-9 0,14-2 0,8-9 0,0 1 0,-7 3 0,-17 6 0</inkml:trace>
  <inkml:trace contextRef="#ctx0" brushRef="#br0" timeOffset="231.54">289 116 8192,'0'18'8839,"0"1"-8839,3 11 7957,2 6-7957,-1 10 1226,2 7-1226,1 2 0,5-3 0,11-10 0,7-12 0,0-11 0</inkml:trace>
  <inkml:trace contextRef="#ctx0" brushRef="#br0" timeOffset="543.52">828 250 8192,'9'0'11332,"18"-6"-11332,9-3 6690,9 1-6690,10-5 0,9-1 0,3-4 0,-4 1 0,-5-3 0,-13-5 0,-14 2 0</inkml:trace>
  <inkml:trace contextRef="#ctx0" brushRef="#br0" timeOffset="744.8">1155 0 8192,'6'14'18022,"3"9"-18022,-1 12 0,-1 9 0,-2 11 0,-2 9 0,-2 0 0,0-4 0,-1-6 0,6-12 0,3-14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4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33 8192,'2'0'18022,"13"0"-18022,16 0 0,16-3 0,12-1 0,3-1 0,-2-4 0,-12-3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8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1 158 8192,'13'0'11332,"21"-9"-4642,30-11-6690,25-1-3356,23-10 3356,8-1-5996,-5 6 5996,-24 8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0.5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1 301 8192,'6'0'18022,"16"0"-18022,20 0 0,29 0 0,32-10-3356,28-3 3356,15-9-5484,-5-1 5484,-23 3-7956,-34-1 11312,-32 3-3356</inkml:trace>
  <inkml:trace contextRef="#ctx0" brushRef="#br0" timeOffset="326.17">366 12 8192,'3'-7'11991,"12"2"-11991,8 9 6031,2 15-6031,2 22 0,-3 19 0,-6 24-3356,-5 12 3356,-6 4-5484,-4-8 5484,-2-21 3356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9.3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1 213 8192,'6'7'11332,"19"-3"-11332,25 0 0,33-5 6690,32-2-6690,19-7-2971,4-2 2971,-13 2-5849,-26-5 5849,-32 0-7349</inkml:trace>
  <inkml:trace contextRef="#ctx0" brushRef="#br0" timeOffset="235.27">559 1 8192,'6'0'3356,"9"0"2127,9 0-5483,10 0 0,8 0 7957,11 6-6731,6 10-1226,-4 7 0,-11 7 0,-6 9 0,-10 3 0,-14 2 0,-11-4 0,-16-2 0,-17-1-2971,-12-6 2971,1-9-5849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7.8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501 93 8192,'0'-5'1053,"0"1"-1,0-1 1,-1 1 0,1-1 0,-1 1 0,0-1 0,0 1 0,-1 0 0,1 0-1,-1-1 1,0 1 0,-3-6 0,3 8-798,-1-1 0,1 1 0,-1-1 0,0 1 0,0 0 0,0 0 0,0 0 0,0 0 0,0 1 0,0-1 0,0 1 0,-1 0 0,1 0 0,0 0 0,-1 0 0,-5 0 0,2 1-255,-1-1 0,1 2 0,-1-1 0,1 1 0,-1 0 0,1 0 0,0 1 0,-1 0 0,1 1 0,0 0 0,0 0 0,0 0 0,1 0 0,-1 1 0,1 1 0,0-1 0,-9 9 0,-4 5 0,0 1 0,1 0 0,-24 35 0,23-27 40,1 1 1,0 0 0,2 1 0,2 1 0,-13 35 0,23-54-201,1 0 0,0 0 0,1 0-1,0 1 1,0-1 0,1 1 0,1 0 0,0-1 0,1 1 0,0-1 0,1 1 0,0-1 0,0 1-1,2-1 1,-1 0 0,1 0 0,1-1 0,5 11 0,10 8-1630,0-1 1,38 38-1,-32-36 575,36 49 1,-41-46-329,-2 0 0,-2 2 0,17 47 0,-19-39 1162,-2 2 1,-3 0-1,-1 0 0,5 79 0,-12-73 462,-3 1 1,-1 0-1,-3-1 0,-2 0 0,-3 0 0,-1-1 0,-35 93 0,29-104-147,0-1 1,-25 37-1,33-59 440,-2-1 1,1-1-1,-2 0 0,0 0 0,-1-1 0,0-1 0,-17 13 0,27-22-469,-1-1 0,1 0 0,-1 0-1,1 0 1,-1 0 0,1-1 0,-1 1 0,0-1-1,0 0 1,0 0 0,0-1 0,0 1-1,0-1 1,1 0 0,-1 0 0,-7 0 0,7-1 226,0-1 0,0 1 0,1 0 0,-1-1 1,1 0-1,-1 0 0,1 0 0,0 0 1,-1-1-1,1 1 0,0-1 0,1 0 1,-1 1-1,-2-5 0,-2-2 505,1-1 1,0 0-1,1 0 0,0 0 1,1-1-1,0 1 0,1-1 1,0 0-1,1 0 0,-2-17 1,3 19 250,1 0 0,0 1 0,1-1 0,0 1 0,0-1 0,1 1 0,5-16 0,-6 21-848,1-1 0,-1 0 0,1 1 0,0-1 0,0 1 0,0 0 0,0 0 0,0 0 0,1 0 0,0 0 0,-1 0 0,1 1 0,0-1 0,0 1 0,1 0 0,-1 0 0,0 0 0,1 0 0,5-2 0,-7 4-39,0-1 0,0 1 0,0 0 0,0 0 0,0 0 0,1 0 0,-1 0 0,0 0 0,0 0 0,0 1 0,0-1 0,0 1 0,0 0 0,0 0 0,0-1 0,0 1 0,0 0 0,-1 0 0,1 1 0,0-1 0,-1 0 0,1 1 0,0-1 0,-1 1 0,0-1 0,1 1 0,-1 0 0,0-1 0,0 1 0,0 0 0,0 0 0,1 3 0,2 5 0,0 0 0,0 1 0,-1-1 0,0 1 0,1 13 0,5 76-1272,-6 170 1,-4-159 2933,12 384-3436,-1-368 2661,48 234 0,-49-324-1327,0-1-1,3 0 1,28 61-1,-35-87 567,0 0 1,1 0-1,1-1 0,-1 0 1,1 0-1,1-1 0,0 0 1,0 0-1,0-1 0,1 0 1,0 0-1,1-1 0,-1 0 0,1-1 1,0 0-1,20 7 0,-13-8-579,0-1 0,1 0-1,-1-1 1,1-1 0,0-1-1,-1 0 1,1-1 0,0-1-1,29-8 1,-10 0-495,-1-1 0,0-3 1,46-23-1,7-10 948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9.2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1 159 8192,'0'-2'463,"1"-1"1,-1 1 0,1 0-1,0 0 1,0-1 0,0 1 0,0 0-1,0 0 1,1 0 0,-1 0-1,0 1 1,1-1 0,0 0-1,-1 0 1,4-1 0,34-27 4646,-26 20-2189,3 0-2616,-1 1 1,1 0-1,1 0 1,-1 2-1,1 0 1,1 1-1,-1 1 1,32-5-1,-5 4-364,0 2 0,65 2 0,-91 2 59,0 1 0,0 1 0,0 1 0,0 1 0,-1 0 0,0 1 0,1 1 0,-2 0 0,1 1 0,20 13 0,-24-12 0,-1 1 0,-1 1 0,1-1 0,-1 2 0,-1 0 0,0 0 0,0 0 0,-1 2 0,-1-1 0,0 1 0,-1 0 0,11 27 0,-7-8-952,-2 0 1,-1 0-1,-1 1 1,4 59-1,-7 139-6855,-4-174 4902,-1 41 1561,1 140 128,4-174 1220,19 108 0,-12-118-4,2 0 0,3-1 0,42 95 0,-50-129 0,2-1 0,0 0 0,1-1 0,1 0 0,0-1 0,2 0 0,0-1 0,0-1 0,1 0 0,1-1 0,0 0 0,1-2 0,32 18 0,-38-25-3,0 0 1,1 0-1,-1-1 1,1-1-1,-1 0 0,1 0 1,0-2-1,0 1 1,-1-1-1,1-1 1,0 0-1,0-1 1,-1 0-1,1-1 0,-1 0 1,20-8-1,-6 0 80,0-2 0,-2 0 0,0-1 0,0-1 0,-1-2 0,24-22 0,-34 27 1430,0 0 0,17-23 0,-24 28-45,0-1 0,0 0 1,-1 0-1,0-1 1,0 1-1,3-12 1,-7 18-1341,1 0 1,0 0-1,-1 0 1,0 0 0,1 1-1,-1-1 1,0 0-1,0 0 1,0 0 0,0 0-1,0 0 1,-1 0-1,1 0 1,0 1 0,-1-1-1,0 0 1,1 0-1,-1 0 1,0 1 0,-1-3-1,1 3-99,0 0-1,-1 0 0,1 0 0,-1 0 1,1 0-1,0 0 0,-1 0 1,1 1-1,-1-1 0,0 0 1,1 1-1,-1 0 0,0-1 0,1 1 1,-1 0-1,0 0 0,1 0 1,-3 0-1,-1 0-39,0 1 1,-1 0 0,1 0-1,0 0 1,0 0 0,0 1-1,0 0 1,0 0-1,1 0 1,-1 1 0,1 0-1,-1-1 1,-4 6 0,3-2 16,1 0 0,-1 0 0,1 1 0,1 0 0,-1 0 0,1 0 0,1 0 0,-1 1 0,1 0 0,0-1 0,1 1 0,0 0 0,0 0 0,1 1 0,0-1 0,0 0 0,1 0 0,0 1 0,0-1 0,1 0 0,0 1 0,1-1 0,-1 0 0,2 0 0,-1 0 0,1-1 0,6 12 0,17 19-455,2 0-1,59 60 1,16 21-655,-66-68 1291,-2 1 0,-2 2 1,-3 1-1,-2 2 0,-3 1 0,23 75 1,-38-94-517,-1 0 1,-2 1-1,-1 0 1,-1 58 0,-5-69-503,-2 1 0,-1-1 0,-1 0 0,-2-1 0,-1 1 0,-18 48 0,14-54 82,0 0 0,-1-1-1,-2-1 1,0 0 0,-1-1-1,-1 0 1,-1-2 0,-1 0 0,-1 0-1,-27 19 1,23-20 657,0-2 1,-2 0-1,1-2 1,-2-1-1,0 0 0,0-2 1,-1-1-1,0-2 0,-30 6 1,51-12 97,0 0 0,0 0 0,0-1 0,-1 0 0,1 0 0,0 0 0,0-1 0,0 0 0,0 0 0,0 0 0,0-1 0,0 0 0,0 0 0,1 0 0,-1-1 0,1 0 0,0 0 0,-1 0 0,1-1 0,1 0 0,-1 0 0,0 0 0,-3-5 0,-20-29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08:12:46.62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24575,'0'0'-8191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08:12:46.630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24575,'-1'0'-8191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08:12:46.63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24575,'3'0'0,"5"0"0,9 0 0,8 0 0,0 0-8191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FBF9E-22BE-4A2B-AAE3-4783F1F1A663}" name="Table1" displayName="Table1" ref="G2:J23" totalsRowCount="1" headerRowDxfId="23" dataDxfId="21" headerRowBorderDxfId="22" tableBorderDxfId="20" headerRowCellStyle="Normal 2">
  <autoFilter ref="G2:J22" xr:uid="{11EFBF9E-22BE-4A2B-AAE3-4783F1F1A663}"/>
  <sortState xmlns:xlrd2="http://schemas.microsoft.com/office/spreadsheetml/2017/richdata2" ref="G6:J22">
    <sortCondition ref="H2:H22"/>
  </sortState>
  <tableColumns count="4">
    <tableColumn id="1" xr3:uid="{E29CF269-F31E-4D59-8C48-EEAD20EE21B4}" name="Items" totalsRowLabel="TOTAL" dataDxfId="19" totalsRowDxfId="18" dataCellStyle="Normal 2"/>
    <tableColumn id="2" xr3:uid="{ABFEAB7D-A5BE-40A6-9E15-73F96A1C06BC}" name="Prices" totalsRowFunction="sum" dataDxfId="17" totalsRowDxfId="16"/>
    <tableColumn id="3" xr3:uid="{A7627D7A-2B8F-4F11-88FD-95115D881FE4}" name="Dates" dataDxfId="15" totalsRowDxfId="14"/>
    <tableColumn id="4" xr3:uid="{B3DFCEE8-C4DC-4239-A525-A09050944C1D}" name="Regions" dataDxfId="13" totalsRowDxfId="12" dataCellStyle="Normal 2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7BB0F-C47D-4BC2-9CD0-C9E7268A2404}" name="Table2" displayName="Table2" ref="B39:E60" totalsRowCount="1" headerRowDxfId="11" dataDxfId="9" headerRowBorderDxfId="10" tableBorderDxfId="8" headerRowCellStyle="Normal 2">
  <autoFilter ref="B39:E59" xr:uid="{1557BB0F-C47D-4BC2-9CD0-C9E7268A2404}"/>
  <tableColumns count="4">
    <tableColumn id="1" xr3:uid="{2AFDCA8A-B029-444E-9250-365C019E30F6}" name="Items" totalsRowLabel="Total" dataDxfId="7" totalsRowDxfId="6" dataCellStyle="Normal 2"/>
    <tableColumn id="2" xr3:uid="{D1155343-72A1-4CAB-BC21-AD8252247E19}" name="Prices" totalsRowFunction="sum" dataDxfId="5" totalsRowDxfId="4"/>
    <tableColumn id="3" xr3:uid="{2B41A9C2-DF08-4770-BD88-C4D54DB16DE1}" name="Dates" dataDxfId="3" totalsRowDxfId="2"/>
    <tableColumn id="4" xr3:uid="{B6121D8E-3830-42C2-ABD9-65D10E85FB37}" name="Regions" dataDxfId="1" totalsRowDxfId="0" dataCellStyle="Normal 2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B74F-E2A0-4F9F-87C6-071423942B7D}">
  <dimension ref="A2:T48"/>
  <sheetViews>
    <sheetView workbookViewId="0">
      <selection activeCell="U9" sqref="U9"/>
    </sheetView>
  </sheetViews>
  <sheetFormatPr defaultRowHeight="14.4" x14ac:dyDescent="0.3"/>
  <cols>
    <col min="4" max="4" width="10.33203125" bestFit="1" customWidth="1"/>
  </cols>
  <sheetData>
    <row r="2" spans="1:20" x14ac:dyDescent="0.3"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1:20" x14ac:dyDescent="0.3">
      <c r="H3" t="s">
        <v>14</v>
      </c>
      <c r="J3">
        <v>1</v>
      </c>
      <c r="L3">
        <v>1</v>
      </c>
    </row>
    <row r="4" spans="1:20" x14ac:dyDescent="0.3">
      <c r="F4" t="s">
        <v>1</v>
      </c>
      <c r="H4" t="s">
        <v>15</v>
      </c>
      <c r="J4">
        <v>2</v>
      </c>
      <c r="L4">
        <v>1</v>
      </c>
    </row>
    <row r="5" spans="1:20" x14ac:dyDescent="0.3">
      <c r="F5" t="s">
        <v>2</v>
      </c>
      <c r="H5" t="s">
        <v>16</v>
      </c>
      <c r="J5">
        <v>3</v>
      </c>
      <c r="L5">
        <v>1</v>
      </c>
    </row>
    <row r="6" spans="1:20" x14ac:dyDescent="0.3">
      <c r="F6" t="s">
        <v>3</v>
      </c>
      <c r="H6" t="s">
        <v>17</v>
      </c>
      <c r="J6">
        <v>4</v>
      </c>
      <c r="L6">
        <v>1</v>
      </c>
    </row>
    <row r="7" spans="1:20" x14ac:dyDescent="0.3">
      <c r="F7" t="s">
        <v>4</v>
      </c>
      <c r="H7" t="s">
        <v>18</v>
      </c>
      <c r="J7">
        <v>5</v>
      </c>
      <c r="L7">
        <v>1</v>
      </c>
    </row>
    <row r="8" spans="1:20" x14ac:dyDescent="0.3">
      <c r="B8">
        <v>1551</v>
      </c>
      <c r="F8" t="s">
        <v>5</v>
      </c>
      <c r="H8" t="s">
        <v>19</v>
      </c>
      <c r="J8">
        <v>6</v>
      </c>
      <c r="L8">
        <v>1</v>
      </c>
    </row>
    <row r="9" spans="1:20" ht="21" x14ac:dyDescent="0.4">
      <c r="B9" t="s">
        <v>21</v>
      </c>
      <c r="F9" t="s">
        <v>6</v>
      </c>
      <c r="J9">
        <v>7</v>
      </c>
      <c r="L9">
        <v>1</v>
      </c>
      <c r="S9" s="4" t="s">
        <v>0</v>
      </c>
      <c r="T9" t="s">
        <v>47</v>
      </c>
    </row>
    <row r="10" spans="1:20" x14ac:dyDescent="0.3">
      <c r="A10" s="2">
        <v>4</v>
      </c>
      <c r="B10">
        <v>3</v>
      </c>
      <c r="F10" t="s">
        <v>7</v>
      </c>
      <c r="J10">
        <v>8</v>
      </c>
      <c r="L10">
        <v>1</v>
      </c>
    </row>
    <row r="11" spans="1:20" x14ac:dyDescent="0.3">
      <c r="A11" s="2">
        <v>9</v>
      </c>
      <c r="B11">
        <v>6</v>
      </c>
      <c r="F11" t="s">
        <v>8</v>
      </c>
      <c r="I11" t="s">
        <v>20</v>
      </c>
      <c r="J11">
        <v>9</v>
      </c>
      <c r="L11">
        <v>1</v>
      </c>
    </row>
    <row r="12" spans="1:20" x14ac:dyDescent="0.3">
      <c r="A12" s="2">
        <v>16</v>
      </c>
      <c r="B12">
        <v>9</v>
      </c>
      <c r="D12" s="1">
        <v>45850</v>
      </c>
      <c r="F12" t="s">
        <v>9</v>
      </c>
      <c r="I12">
        <v>10</v>
      </c>
      <c r="J12">
        <v>10</v>
      </c>
      <c r="L12">
        <v>1</v>
      </c>
    </row>
    <row r="13" spans="1:20" x14ac:dyDescent="0.3">
      <c r="A13" s="2">
        <v>25</v>
      </c>
      <c r="B13">
        <v>12</v>
      </c>
      <c r="D13" s="1">
        <v>45850</v>
      </c>
      <c r="F13" t="s">
        <v>10</v>
      </c>
      <c r="I13">
        <v>20</v>
      </c>
      <c r="J13">
        <v>11</v>
      </c>
      <c r="L13">
        <v>1</v>
      </c>
    </row>
    <row r="14" spans="1:20" x14ac:dyDescent="0.3">
      <c r="A14" s="2">
        <v>36</v>
      </c>
      <c r="B14">
        <v>15</v>
      </c>
      <c r="D14" s="1">
        <v>45850</v>
      </c>
      <c r="F14" t="s">
        <v>11</v>
      </c>
      <c r="I14">
        <v>30</v>
      </c>
      <c r="J14">
        <v>12</v>
      </c>
      <c r="L14">
        <v>1</v>
      </c>
    </row>
    <row r="15" spans="1:20" x14ac:dyDescent="0.3">
      <c r="A15" s="2">
        <v>49</v>
      </c>
      <c r="B15">
        <v>18</v>
      </c>
      <c r="D15" s="1">
        <v>45850</v>
      </c>
      <c r="F15" t="s">
        <v>12</v>
      </c>
      <c r="I15">
        <v>40</v>
      </c>
      <c r="J15">
        <v>13</v>
      </c>
      <c r="L15">
        <v>1</v>
      </c>
      <c r="O15" t="s">
        <v>33</v>
      </c>
      <c r="P15">
        <v>5</v>
      </c>
    </row>
    <row r="16" spans="1:20" x14ac:dyDescent="0.3">
      <c r="A16" s="2">
        <v>54.6666666666667</v>
      </c>
      <c r="B16">
        <v>21</v>
      </c>
      <c r="D16" s="1">
        <v>45850</v>
      </c>
      <c r="I16">
        <v>50</v>
      </c>
      <c r="J16">
        <v>14</v>
      </c>
      <c r="L16">
        <v>1</v>
      </c>
      <c r="O16" t="s">
        <v>35</v>
      </c>
      <c r="P16">
        <v>10</v>
      </c>
    </row>
    <row r="17" spans="1:16" x14ac:dyDescent="0.3">
      <c r="A17" s="2">
        <v>63.6666666666667</v>
      </c>
      <c r="B17">
        <v>24</v>
      </c>
      <c r="D17" s="1">
        <v>45850</v>
      </c>
      <c r="I17">
        <v>60</v>
      </c>
      <c r="J17">
        <v>15</v>
      </c>
      <c r="L17">
        <v>1</v>
      </c>
      <c r="O17" t="s">
        <v>36</v>
      </c>
      <c r="P17">
        <v>15</v>
      </c>
    </row>
    <row r="18" spans="1:16" x14ac:dyDescent="0.3">
      <c r="A18" s="2">
        <v>72.6666666666667</v>
      </c>
      <c r="B18">
        <v>27</v>
      </c>
      <c r="D18" s="1">
        <v>45850</v>
      </c>
      <c r="I18">
        <v>70</v>
      </c>
      <c r="J18">
        <v>16</v>
      </c>
      <c r="L18">
        <v>1</v>
      </c>
      <c r="O18" t="s">
        <v>37</v>
      </c>
      <c r="P18">
        <v>20</v>
      </c>
    </row>
    <row r="19" spans="1:16" x14ac:dyDescent="0.3">
      <c r="A19" s="2">
        <v>81.6666666666667</v>
      </c>
      <c r="B19">
        <v>30</v>
      </c>
      <c r="D19" s="1">
        <v>45850</v>
      </c>
      <c r="I19">
        <v>80</v>
      </c>
      <c r="J19">
        <v>17</v>
      </c>
      <c r="L19">
        <v>1</v>
      </c>
      <c r="O19" t="s">
        <v>38</v>
      </c>
      <c r="P19">
        <v>25</v>
      </c>
    </row>
    <row r="20" spans="1:16" x14ac:dyDescent="0.3">
      <c r="A20" s="2">
        <v>90.6666666666667</v>
      </c>
      <c r="B20">
        <v>33</v>
      </c>
      <c r="D20" s="1">
        <v>45850</v>
      </c>
      <c r="I20">
        <v>90</v>
      </c>
      <c r="J20">
        <v>18</v>
      </c>
      <c r="L20">
        <v>1</v>
      </c>
      <c r="O20" t="s">
        <v>39</v>
      </c>
      <c r="P20">
        <v>30</v>
      </c>
    </row>
    <row r="21" spans="1:16" x14ac:dyDescent="0.3">
      <c r="A21" s="2">
        <v>99.6666666666667</v>
      </c>
      <c r="B21">
        <v>36</v>
      </c>
      <c r="D21" s="1">
        <v>45850</v>
      </c>
      <c r="I21">
        <v>100</v>
      </c>
      <c r="J21">
        <v>19</v>
      </c>
      <c r="L21">
        <v>1</v>
      </c>
      <c r="O21" t="s">
        <v>40</v>
      </c>
      <c r="P21">
        <v>35</v>
      </c>
    </row>
    <row r="22" spans="1:16" x14ac:dyDescent="0.3">
      <c r="A22" s="2">
        <v>108.666666666667</v>
      </c>
      <c r="B22">
        <v>39</v>
      </c>
      <c r="D22" s="1">
        <v>45850</v>
      </c>
      <c r="I22">
        <v>110</v>
      </c>
      <c r="J22">
        <v>20</v>
      </c>
      <c r="L22">
        <v>1</v>
      </c>
      <c r="O22" t="s">
        <v>41</v>
      </c>
      <c r="P22">
        <v>40</v>
      </c>
    </row>
    <row r="23" spans="1:16" x14ac:dyDescent="0.3">
      <c r="A23" s="2">
        <v>117.666666666667</v>
      </c>
      <c r="B23">
        <v>42</v>
      </c>
      <c r="D23" s="1">
        <v>45850</v>
      </c>
      <c r="I23">
        <v>120</v>
      </c>
      <c r="J23">
        <v>21</v>
      </c>
      <c r="L23">
        <v>1</v>
      </c>
      <c r="O23" t="s">
        <v>42</v>
      </c>
      <c r="P23">
        <v>45</v>
      </c>
    </row>
    <row r="24" spans="1:16" x14ac:dyDescent="0.3">
      <c r="A24" s="2">
        <v>126.666666666667</v>
      </c>
      <c r="B24">
        <v>45</v>
      </c>
      <c r="D24" s="1">
        <v>45850</v>
      </c>
      <c r="I24">
        <v>130</v>
      </c>
      <c r="J24">
        <v>22</v>
      </c>
      <c r="L24">
        <v>1</v>
      </c>
      <c r="O24" t="s">
        <v>43</v>
      </c>
      <c r="P24">
        <v>50</v>
      </c>
    </row>
    <row r="25" spans="1:16" x14ac:dyDescent="0.3">
      <c r="A25" s="2"/>
      <c r="B25">
        <v>48</v>
      </c>
      <c r="I25">
        <v>140</v>
      </c>
      <c r="J25">
        <v>23</v>
      </c>
      <c r="L25">
        <v>1</v>
      </c>
      <c r="O25" t="s">
        <v>44</v>
      </c>
      <c r="P25">
        <v>55</v>
      </c>
    </row>
    <row r="26" spans="1:16" x14ac:dyDescent="0.3">
      <c r="A26" s="2"/>
      <c r="B26">
        <v>51</v>
      </c>
      <c r="I26">
        <v>150</v>
      </c>
      <c r="J26">
        <v>24</v>
      </c>
      <c r="L26">
        <v>1</v>
      </c>
      <c r="O26" t="s">
        <v>45</v>
      </c>
      <c r="P26">
        <v>60</v>
      </c>
    </row>
    <row r="27" spans="1:16" x14ac:dyDescent="0.3">
      <c r="A27" s="2"/>
      <c r="B27">
        <v>54</v>
      </c>
      <c r="J27">
        <v>25</v>
      </c>
      <c r="L27">
        <v>1</v>
      </c>
      <c r="O27" t="s">
        <v>46</v>
      </c>
      <c r="P27">
        <v>65</v>
      </c>
    </row>
    <row r="28" spans="1:16" x14ac:dyDescent="0.3">
      <c r="O28" t="s">
        <v>34</v>
      </c>
      <c r="P28">
        <v>70</v>
      </c>
    </row>
    <row r="29" spans="1:16" x14ac:dyDescent="0.3">
      <c r="C29" t="s">
        <v>22</v>
      </c>
      <c r="D29" t="s">
        <v>23</v>
      </c>
      <c r="E29" t="s">
        <v>24</v>
      </c>
      <c r="F29" t="s">
        <v>25</v>
      </c>
      <c r="G29" t="s">
        <v>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P29">
        <v>75</v>
      </c>
    </row>
    <row r="32" spans="1:16" x14ac:dyDescent="0.3"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</v>
      </c>
    </row>
    <row r="33" spans="2:9" x14ac:dyDescent="0.3">
      <c r="B33">
        <v>8</v>
      </c>
      <c r="C33">
        <v>7</v>
      </c>
      <c r="D33">
        <v>6</v>
      </c>
      <c r="E33">
        <v>5</v>
      </c>
      <c r="F33">
        <v>4</v>
      </c>
      <c r="G33">
        <v>3</v>
      </c>
      <c r="H33">
        <v>2</v>
      </c>
      <c r="I33">
        <v>1</v>
      </c>
    </row>
    <row r="38" spans="2:9" x14ac:dyDescent="0.3">
      <c r="E38" t="s">
        <v>49</v>
      </c>
    </row>
    <row r="44" spans="2:9" x14ac:dyDescent="0.3">
      <c r="B44" t="s">
        <v>47</v>
      </c>
    </row>
    <row r="46" spans="2:9" x14ac:dyDescent="0.3">
      <c r="B46" t="s">
        <v>48</v>
      </c>
      <c r="F46" t="s">
        <v>47</v>
      </c>
    </row>
    <row r="48" spans="2:9" x14ac:dyDescent="0.3">
      <c r="F48" t="s">
        <v>48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EFC8-CA7C-49A1-8CD7-7FC6724377D5}">
  <dimension ref="B2:O49"/>
  <sheetViews>
    <sheetView zoomScale="90" zoomScaleNormal="90" workbookViewId="0">
      <selection activeCell="D5" sqref="D5"/>
    </sheetView>
  </sheetViews>
  <sheetFormatPr defaultRowHeight="14.4" x14ac:dyDescent="0.3"/>
  <cols>
    <col min="2" max="2" width="17.6640625" bestFit="1" customWidth="1"/>
    <col min="3" max="3" width="13.77734375" bestFit="1" customWidth="1"/>
    <col min="4" max="4" width="17.6640625" bestFit="1" customWidth="1"/>
    <col min="5" max="5" width="15.44140625" bestFit="1" customWidth="1"/>
    <col min="6" max="6" width="12.44140625" bestFit="1" customWidth="1"/>
    <col min="7" max="7" width="15.109375" bestFit="1" customWidth="1"/>
    <col min="8" max="8" width="14.5546875" bestFit="1" customWidth="1"/>
    <col min="9" max="10" width="12.44140625" bestFit="1" customWidth="1"/>
    <col min="11" max="12" width="14.5546875" bestFit="1" customWidth="1"/>
    <col min="13" max="13" width="55.44140625" customWidth="1"/>
    <col min="14" max="14" width="12.44140625" bestFit="1" customWidth="1"/>
  </cols>
  <sheetData>
    <row r="2" spans="2:15" ht="18" x14ac:dyDescent="0.35">
      <c r="B2" s="10" t="s">
        <v>13</v>
      </c>
      <c r="C2" s="8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</row>
    <row r="3" spans="2:15" ht="18" x14ac:dyDescent="0.35">
      <c r="B3" s="10" t="s">
        <v>14</v>
      </c>
      <c r="C3" s="3"/>
      <c r="D3" s="9">
        <v>1</v>
      </c>
      <c r="E3" s="3"/>
      <c r="F3" s="5"/>
      <c r="G3" s="3"/>
      <c r="H3" s="3"/>
    </row>
    <row r="4" spans="2:15" ht="18" x14ac:dyDescent="0.35">
      <c r="B4" s="10" t="s">
        <v>15</v>
      </c>
      <c r="C4" s="3"/>
      <c r="D4" s="9">
        <v>2</v>
      </c>
      <c r="E4" s="3"/>
      <c r="F4" s="5"/>
      <c r="G4" s="3"/>
      <c r="H4" s="3"/>
    </row>
    <row r="5" spans="2:15" ht="25.2" x14ac:dyDescent="0.5">
      <c r="B5" s="10" t="s">
        <v>16</v>
      </c>
      <c r="C5" s="3"/>
      <c r="D5" s="9">
        <v>3</v>
      </c>
      <c r="E5" s="3"/>
      <c r="F5" s="5"/>
      <c r="G5" s="3"/>
      <c r="H5" s="3"/>
      <c r="K5" s="6">
        <v>100</v>
      </c>
    </row>
    <row r="6" spans="2:15" ht="25.2" x14ac:dyDescent="0.5">
      <c r="B6" s="10" t="s">
        <v>17</v>
      </c>
      <c r="C6" s="3"/>
      <c r="D6" s="9">
        <v>4</v>
      </c>
      <c r="E6" s="3"/>
      <c r="F6" s="5"/>
      <c r="G6" s="3"/>
      <c r="H6" s="3"/>
      <c r="K6" s="6">
        <v>200</v>
      </c>
    </row>
    <row r="7" spans="2:15" s="14" customFormat="1" ht="214.8" x14ac:dyDescent="0.3">
      <c r="B7" s="15" t="s">
        <v>18</v>
      </c>
      <c r="C7" s="16"/>
      <c r="D7" s="9">
        <v>5</v>
      </c>
      <c r="E7" s="16"/>
      <c r="F7" s="17"/>
      <c r="G7" s="16"/>
      <c r="H7" s="16"/>
      <c r="K7" s="18">
        <v>300</v>
      </c>
      <c r="M7" s="19" t="s">
        <v>55</v>
      </c>
    </row>
    <row r="8" spans="2:15" ht="18" x14ac:dyDescent="0.35">
      <c r="B8" s="10" t="s">
        <v>19</v>
      </c>
      <c r="C8" s="3"/>
      <c r="D8" s="9">
        <v>6</v>
      </c>
      <c r="E8" s="3"/>
      <c r="F8" s="5"/>
      <c r="G8" s="3"/>
      <c r="H8" s="3"/>
    </row>
    <row r="9" spans="2:15" ht="15" thickBot="1" x14ac:dyDescent="0.35"/>
    <row r="10" spans="2:15" ht="29.4" thickTop="1" thickBot="1" x14ac:dyDescent="0.35">
      <c r="H10" s="374" t="s">
        <v>54</v>
      </c>
      <c r="I10" s="374"/>
      <c r="J10" s="374"/>
      <c r="K10" s="374"/>
      <c r="L10" s="374"/>
    </row>
    <row r="11" spans="2:15" ht="16.8" thickTop="1" thickBot="1" x14ac:dyDescent="0.35">
      <c r="H11" s="20" t="s">
        <v>52</v>
      </c>
      <c r="I11" s="20" t="s">
        <v>47</v>
      </c>
      <c r="J11" s="20" t="s">
        <v>47</v>
      </c>
      <c r="K11" s="20" t="s">
        <v>47</v>
      </c>
      <c r="L11" s="20" t="s">
        <v>47</v>
      </c>
      <c r="M11" s="11"/>
      <c r="N11" s="11"/>
      <c r="O11" s="11"/>
    </row>
    <row r="12" spans="2:15" ht="16.8" thickTop="1" thickBot="1" x14ac:dyDescent="0.35">
      <c r="H12" s="20" t="s">
        <v>52</v>
      </c>
      <c r="I12" s="20" t="s">
        <v>50</v>
      </c>
      <c r="J12" s="20" t="s">
        <v>47</v>
      </c>
      <c r="K12" s="20" t="s">
        <v>47</v>
      </c>
      <c r="L12" s="20" t="s">
        <v>47</v>
      </c>
      <c r="M12" s="11"/>
      <c r="N12" s="11"/>
      <c r="O12" s="11"/>
    </row>
    <row r="13" spans="2:15" ht="16.8" thickTop="1" thickBot="1" x14ac:dyDescent="0.35">
      <c r="H13" s="20" t="s">
        <v>52</v>
      </c>
      <c r="I13" s="20" t="s">
        <v>47</v>
      </c>
      <c r="J13" s="20" t="s">
        <v>47</v>
      </c>
      <c r="K13" s="20" t="s">
        <v>47</v>
      </c>
      <c r="L13" s="20" t="s">
        <v>47</v>
      </c>
      <c r="M13" s="11"/>
      <c r="N13" s="11"/>
      <c r="O13" s="11"/>
    </row>
    <row r="14" spans="2:15" ht="16.8" thickTop="1" thickBot="1" x14ac:dyDescent="0.35">
      <c r="H14" s="20" t="s">
        <v>52</v>
      </c>
      <c r="I14" s="20" t="s">
        <v>47</v>
      </c>
      <c r="J14" s="20" t="s">
        <v>51</v>
      </c>
      <c r="K14" s="20" t="s">
        <v>47</v>
      </c>
      <c r="L14" s="20" t="s">
        <v>47</v>
      </c>
      <c r="M14" s="11"/>
      <c r="N14" s="11"/>
      <c r="O14" s="11"/>
    </row>
    <row r="15" spans="2:15" ht="16.8" thickTop="1" thickBot="1" x14ac:dyDescent="0.35">
      <c r="H15" s="20" t="s">
        <v>52</v>
      </c>
      <c r="I15" s="20" t="s">
        <v>47</v>
      </c>
      <c r="J15" s="20" t="s">
        <v>47</v>
      </c>
      <c r="K15" s="20" t="s">
        <v>47</v>
      </c>
      <c r="L15" s="20" t="s">
        <v>47</v>
      </c>
      <c r="M15" s="11"/>
      <c r="N15" s="11"/>
      <c r="O15" s="11"/>
    </row>
    <row r="16" spans="2:15" ht="16.8" thickTop="1" thickBot="1" x14ac:dyDescent="0.35">
      <c r="H16" s="20" t="s">
        <v>52</v>
      </c>
      <c r="I16" s="20" t="s">
        <v>50</v>
      </c>
      <c r="J16" s="20" t="s">
        <v>50</v>
      </c>
      <c r="K16" s="20" t="s">
        <v>47</v>
      </c>
      <c r="L16" s="20" t="s">
        <v>47</v>
      </c>
      <c r="M16" s="11"/>
      <c r="N16" s="11"/>
      <c r="O16" s="11"/>
    </row>
    <row r="17" spans="5:15" ht="16.8" thickTop="1" thickBot="1" x14ac:dyDescent="0.35">
      <c r="H17" s="20" t="s">
        <v>52</v>
      </c>
      <c r="I17" s="20" t="s">
        <v>50</v>
      </c>
      <c r="J17" s="20" t="s">
        <v>50</v>
      </c>
      <c r="K17" s="20" t="s">
        <v>47</v>
      </c>
      <c r="L17" s="20" t="s">
        <v>52</v>
      </c>
      <c r="M17" s="11"/>
      <c r="N17" s="11"/>
      <c r="O17" s="11"/>
    </row>
    <row r="18" spans="5:15" ht="16.8" thickTop="1" thickBot="1" x14ac:dyDescent="0.35">
      <c r="H18" s="20" t="s">
        <v>47</v>
      </c>
      <c r="I18" s="20" t="s">
        <v>50</v>
      </c>
      <c r="J18" s="20" t="s">
        <v>50</v>
      </c>
      <c r="K18" s="20" t="s">
        <v>47</v>
      </c>
      <c r="L18" s="20" t="s">
        <v>47</v>
      </c>
      <c r="M18" s="11"/>
      <c r="N18" s="11"/>
      <c r="O18" s="11"/>
    </row>
    <row r="19" spans="5:15" ht="16.8" thickTop="1" thickBot="1" x14ac:dyDescent="0.35">
      <c r="H19" s="20" t="s">
        <v>47</v>
      </c>
      <c r="I19" s="20" t="s">
        <v>47</v>
      </c>
      <c r="J19" s="20" t="s">
        <v>47</v>
      </c>
      <c r="K19" s="20" t="s">
        <v>47</v>
      </c>
      <c r="L19" s="20" t="s">
        <v>47</v>
      </c>
      <c r="M19" s="11"/>
      <c r="N19" s="11"/>
      <c r="O19" s="11"/>
    </row>
    <row r="20" spans="5:15" ht="16.8" thickTop="1" thickBot="1" x14ac:dyDescent="0.35">
      <c r="H20" s="20" t="s">
        <v>47</v>
      </c>
      <c r="I20" s="20" t="s">
        <v>47</v>
      </c>
      <c r="J20" s="20" t="s">
        <v>47</v>
      </c>
      <c r="K20" s="20" t="s">
        <v>47</v>
      </c>
      <c r="L20" s="20" t="s">
        <v>47</v>
      </c>
      <c r="M20" s="11"/>
      <c r="N20" s="11"/>
      <c r="O20" s="11"/>
    </row>
    <row r="21" spans="5:15" ht="16.8" thickTop="1" thickBot="1" x14ac:dyDescent="0.35">
      <c r="H21" s="20" t="s">
        <v>47</v>
      </c>
      <c r="I21" s="20" t="s">
        <v>53</v>
      </c>
      <c r="J21" s="20" t="s">
        <v>47</v>
      </c>
      <c r="K21" s="20" t="s">
        <v>52</v>
      </c>
      <c r="L21" s="20" t="s">
        <v>51</v>
      </c>
      <c r="M21" s="11"/>
      <c r="N21" s="11"/>
      <c r="O21" s="11"/>
    </row>
    <row r="22" spans="5:15" ht="16.8" thickTop="1" thickBot="1" x14ac:dyDescent="0.35">
      <c r="H22" s="20" t="s">
        <v>47</v>
      </c>
      <c r="I22" s="20" t="s">
        <v>47</v>
      </c>
      <c r="J22" s="20" t="s">
        <v>47</v>
      </c>
      <c r="K22" s="20" t="s">
        <v>47</v>
      </c>
      <c r="L22" s="20" t="s">
        <v>51</v>
      </c>
      <c r="M22" s="11"/>
      <c r="N22" s="11"/>
      <c r="O22" s="11"/>
    </row>
    <row r="23" spans="5:15" ht="16.8" thickTop="1" thickBot="1" x14ac:dyDescent="0.35">
      <c r="H23" s="20" t="s">
        <v>47</v>
      </c>
      <c r="I23" s="20" t="s">
        <v>47</v>
      </c>
      <c r="J23" s="20" t="s">
        <v>47</v>
      </c>
      <c r="K23" s="20" t="s">
        <v>47</v>
      </c>
      <c r="L23" s="20" t="s">
        <v>51</v>
      </c>
      <c r="M23" s="11"/>
      <c r="N23" s="11"/>
      <c r="O23" s="11"/>
    </row>
    <row r="24" spans="5:15" ht="16.2" thickTop="1" x14ac:dyDescent="0.3">
      <c r="H24" s="11"/>
      <c r="I24" s="11"/>
      <c r="J24" s="11"/>
      <c r="K24" s="11"/>
      <c r="L24" s="11"/>
      <c r="M24" s="11"/>
      <c r="N24" s="11"/>
      <c r="O24" s="11"/>
    </row>
    <row r="25" spans="5:15" ht="15.6" x14ac:dyDescent="0.3">
      <c r="H25" s="11"/>
      <c r="I25" s="11"/>
      <c r="J25" s="11"/>
      <c r="K25" s="11"/>
      <c r="L25" s="11"/>
      <c r="M25" s="11"/>
      <c r="N25" s="11"/>
      <c r="O25" s="11"/>
    </row>
    <row r="26" spans="5:15" ht="15.6" x14ac:dyDescent="0.3">
      <c r="H26" s="11"/>
      <c r="I26" s="11"/>
      <c r="J26" s="11"/>
      <c r="K26" s="11"/>
      <c r="L26" s="11"/>
      <c r="M26" s="11"/>
      <c r="N26" s="11"/>
      <c r="O26" s="11"/>
    </row>
    <row r="27" spans="5:15" ht="15.6" x14ac:dyDescent="0.3">
      <c r="H27" s="11"/>
      <c r="I27" s="11"/>
      <c r="J27" s="11"/>
      <c r="K27" s="11"/>
      <c r="L27" s="11"/>
      <c r="M27" s="11"/>
      <c r="N27" s="11"/>
      <c r="O27" s="11"/>
    </row>
    <row r="28" spans="5:15" ht="15.6" x14ac:dyDescent="0.3">
      <c r="E28" s="12" t="s">
        <v>50</v>
      </c>
      <c r="F28" s="12" t="s">
        <v>50</v>
      </c>
      <c r="H28" s="11"/>
      <c r="I28" s="11"/>
      <c r="J28" s="11"/>
      <c r="K28" s="11"/>
      <c r="L28" s="11"/>
      <c r="M28" s="11"/>
      <c r="N28" s="11"/>
      <c r="O28" s="11"/>
    </row>
    <row r="29" spans="5:15" ht="15.6" x14ac:dyDescent="0.3">
      <c r="E29" s="12" t="s">
        <v>50</v>
      </c>
      <c r="F29" s="12" t="s">
        <v>50</v>
      </c>
      <c r="G29" s="12" t="s">
        <v>50</v>
      </c>
    </row>
    <row r="30" spans="5:15" ht="15.6" x14ac:dyDescent="0.3">
      <c r="E30" s="12" t="s">
        <v>47</v>
      </c>
      <c r="F30" s="12" t="s">
        <v>50</v>
      </c>
      <c r="G30" s="12" t="s">
        <v>50</v>
      </c>
      <c r="H30" s="12" t="s">
        <v>50</v>
      </c>
    </row>
    <row r="31" spans="5:15" ht="15.6" x14ac:dyDescent="0.3">
      <c r="E31" s="12" t="s">
        <v>47</v>
      </c>
      <c r="F31" s="12" t="s">
        <v>47</v>
      </c>
      <c r="G31" s="12" t="s">
        <v>50</v>
      </c>
      <c r="H31" s="12" t="s">
        <v>50</v>
      </c>
      <c r="I31" s="12" t="s">
        <v>50</v>
      </c>
    </row>
    <row r="32" spans="5:15" ht="15.6" x14ac:dyDescent="0.3">
      <c r="E32" s="12" t="s">
        <v>53</v>
      </c>
      <c r="F32" s="12" t="s">
        <v>47</v>
      </c>
      <c r="G32" s="12" t="s">
        <v>47</v>
      </c>
      <c r="H32" s="12" t="s">
        <v>50</v>
      </c>
      <c r="I32" s="12" t="s">
        <v>50</v>
      </c>
      <c r="J32" s="12" t="s">
        <v>50</v>
      </c>
    </row>
    <row r="33" spans="2:14" ht="15.6" x14ac:dyDescent="0.3">
      <c r="F33" s="12" t="s">
        <v>53</v>
      </c>
      <c r="G33" s="12" t="s">
        <v>47</v>
      </c>
      <c r="H33" s="12" t="s">
        <v>47</v>
      </c>
      <c r="I33" s="12" t="s">
        <v>50</v>
      </c>
      <c r="J33" s="12" t="s">
        <v>50</v>
      </c>
      <c r="K33" s="12" t="s">
        <v>50</v>
      </c>
    </row>
    <row r="34" spans="2:14" ht="15.6" x14ac:dyDescent="0.3">
      <c r="G34" s="12" t="s">
        <v>53</v>
      </c>
      <c r="H34" s="12" t="s">
        <v>47</v>
      </c>
      <c r="I34" s="12" t="s">
        <v>47</v>
      </c>
      <c r="J34" s="12" t="s">
        <v>50</v>
      </c>
      <c r="K34" s="12" t="s">
        <v>50</v>
      </c>
      <c r="L34" s="12" t="s">
        <v>50</v>
      </c>
    </row>
    <row r="35" spans="2:14" ht="15.6" x14ac:dyDescent="0.3">
      <c r="H35" s="12" t="s">
        <v>53</v>
      </c>
      <c r="I35" s="12" t="s">
        <v>47</v>
      </c>
      <c r="J35" s="12" t="s">
        <v>47</v>
      </c>
      <c r="K35" s="12" t="s">
        <v>50</v>
      </c>
      <c r="L35" s="12" t="s">
        <v>50</v>
      </c>
      <c r="M35" s="12" t="s">
        <v>50</v>
      </c>
    </row>
    <row r="36" spans="2:14" ht="15.6" x14ac:dyDescent="0.3">
      <c r="I36" s="12" t="s">
        <v>53</v>
      </c>
      <c r="J36" s="12" t="s">
        <v>47</v>
      </c>
      <c r="K36" s="12" t="s">
        <v>47</v>
      </c>
      <c r="L36" s="12" t="s">
        <v>50</v>
      </c>
      <c r="M36" s="12" t="s">
        <v>50</v>
      </c>
      <c r="N36" s="12" t="s">
        <v>50</v>
      </c>
    </row>
    <row r="37" spans="2:14" ht="15.6" x14ac:dyDescent="0.3">
      <c r="B37" s="12" t="s">
        <v>47</v>
      </c>
      <c r="J37" s="12" t="s">
        <v>53</v>
      </c>
      <c r="K37" s="12" t="s">
        <v>47</v>
      </c>
      <c r="L37" s="12" t="s">
        <v>47</v>
      </c>
      <c r="M37" s="12" t="s">
        <v>50</v>
      </c>
      <c r="N37" s="12" t="s">
        <v>50</v>
      </c>
    </row>
    <row r="38" spans="2:14" ht="15.6" x14ac:dyDescent="0.3">
      <c r="C38" s="12" t="s">
        <v>47</v>
      </c>
      <c r="K38" s="12" t="s">
        <v>53</v>
      </c>
      <c r="L38" s="12" t="s">
        <v>47</v>
      </c>
      <c r="M38" s="12" t="s">
        <v>47</v>
      </c>
      <c r="N38" s="12" t="s">
        <v>47</v>
      </c>
    </row>
    <row r="39" spans="2:14" ht="15.6" x14ac:dyDescent="0.3">
      <c r="D39" s="12" t="s">
        <v>47</v>
      </c>
      <c r="L39" s="12" t="s">
        <v>53</v>
      </c>
      <c r="M39" s="12" t="s">
        <v>47</v>
      </c>
      <c r="N39" s="12" t="s">
        <v>47</v>
      </c>
    </row>
    <row r="40" spans="2:14" ht="15.6" x14ac:dyDescent="0.3">
      <c r="E40" s="12" t="s">
        <v>47</v>
      </c>
      <c r="M40" s="12" t="s">
        <v>53</v>
      </c>
      <c r="N40" s="12" t="s">
        <v>47</v>
      </c>
    </row>
    <row r="41" spans="2:14" ht="15.6" x14ac:dyDescent="0.3">
      <c r="F41" s="12" t="s">
        <v>47</v>
      </c>
    </row>
    <row r="42" spans="2:14" ht="15.6" x14ac:dyDescent="0.3">
      <c r="G42" s="12" t="s">
        <v>47</v>
      </c>
    </row>
    <row r="43" spans="2:14" ht="16.2" thickBot="1" x14ac:dyDescent="0.35">
      <c r="H43" s="12" t="s">
        <v>47</v>
      </c>
    </row>
    <row r="44" spans="2:14" ht="19.2" thickTop="1" thickBot="1" x14ac:dyDescent="0.4">
      <c r="B44" s="21" t="s">
        <v>56</v>
      </c>
      <c r="I44" s="12" t="s">
        <v>47</v>
      </c>
    </row>
    <row r="45" spans="2:14" ht="16.8" thickTop="1" thickBot="1" x14ac:dyDescent="0.35">
      <c r="J45" s="12" t="s">
        <v>47</v>
      </c>
    </row>
    <row r="46" spans="2:14" ht="22.2" thickTop="1" thickBot="1" x14ac:dyDescent="0.45">
      <c r="C46" s="22">
        <v>1</v>
      </c>
    </row>
    <row r="47" spans="2:14" ht="22.2" thickTop="1" thickBot="1" x14ac:dyDescent="0.45">
      <c r="C47" s="22">
        <v>2</v>
      </c>
    </row>
    <row r="48" spans="2:14" ht="22.2" thickTop="1" thickBot="1" x14ac:dyDescent="0.45">
      <c r="C48" s="22">
        <v>3</v>
      </c>
    </row>
    <row r="49" ht="15" thickTop="1" x14ac:dyDescent="0.3"/>
  </sheetData>
  <mergeCells count="1">
    <mergeCell ref="H10:L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CD0D-4AF3-4256-8027-A5B26E089621}">
  <dimension ref="B1:N26"/>
  <sheetViews>
    <sheetView workbookViewId="0">
      <selection activeCell="J2" sqref="J2:J9"/>
    </sheetView>
  </sheetViews>
  <sheetFormatPr defaultRowHeight="18" x14ac:dyDescent="0.35"/>
  <cols>
    <col min="1" max="1" width="8.88671875" style="13"/>
    <col min="2" max="2" width="9.6640625" style="13" bestFit="1" customWidth="1"/>
    <col min="3" max="5" width="8.88671875" style="13"/>
    <col min="6" max="6" width="13.44140625" style="13" bestFit="1" customWidth="1"/>
    <col min="7" max="7" width="8.88671875" style="13"/>
    <col min="8" max="8" width="14.33203125" style="13" bestFit="1" customWidth="1"/>
    <col min="9" max="9" width="8.88671875" style="13"/>
    <col min="10" max="10" width="13.44140625" style="13" bestFit="1" customWidth="1"/>
    <col min="11" max="11" width="8.88671875" style="13"/>
    <col min="12" max="12" width="17.44140625" style="13" bestFit="1" customWidth="1"/>
    <col min="13" max="13" width="8.88671875" style="13"/>
    <col min="14" max="14" width="13.33203125" style="13" bestFit="1" customWidth="1"/>
    <col min="15" max="16384" width="8.88671875" style="13"/>
  </cols>
  <sheetData>
    <row r="1" spans="2:14" ht="19.2" thickTop="1" thickBot="1" x14ac:dyDescent="0.4">
      <c r="B1" s="26">
        <v>1</v>
      </c>
    </row>
    <row r="2" spans="2:14" ht="19.2" thickTop="1" thickBot="1" x14ac:dyDescent="0.4">
      <c r="B2" s="26">
        <v>2</v>
      </c>
      <c r="F2" s="23">
        <v>46204</v>
      </c>
      <c r="H2" s="25">
        <v>100</v>
      </c>
      <c r="J2" s="23">
        <v>45879</v>
      </c>
      <c r="L2" s="27">
        <v>0.52</v>
      </c>
    </row>
    <row r="3" spans="2:14" ht="19.2" thickTop="1" thickBot="1" x14ac:dyDescent="0.4">
      <c r="B3" s="26">
        <v>3</v>
      </c>
      <c r="D3" s="24" t="s">
        <v>22</v>
      </c>
      <c r="F3" s="23">
        <v>46205</v>
      </c>
      <c r="H3" s="25">
        <v>150</v>
      </c>
      <c r="J3" s="23">
        <v>45880</v>
      </c>
      <c r="L3" s="27">
        <v>0.3</v>
      </c>
      <c r="N3" s="29">
        <v>46204</v>
      </c>
    </row>
    <row r="4" spans="2:14" ht="19.2" thickTop="1" thickBot="1" x14ac:dyDescent="0.4">
      <c r="B4" s="26">
        <v>4</v>
      </c>
      <c r="D4" s="24" t="s">
        <v>23</v>
      </c>
      <c r="F4" s="23">
        <v>46206</v>
      </c>
      <c r="H4" s="25">
        <v>250</v>
      </c>
      <c r="J4" s="23">
        <v>45881</v>
      </c>
      <c r="L4" s="27">
        <v>0.5</v>
      </c>
      <c r="N4" s="29">
        <v>46205</v>
      </c>
    </row>
    <row r="5" spans="2:14" ht="19.2" thickTop="1" thickBot="1" x14ac:dyDescent="0.4">
      <c r="B5" s="26">
        <v>5</v>
      </c>
      <c r="D5" s="24" t="s">
        <v>24</v>
      </c>
      <c r="F5" s="23">
        <v>46207</v>
      </c>
      <c r="H5" s="25">
        <v>300</v>
      </c>
      <c r="J5" s="23">
        <v>45882</v>
      </c>
      <c r="L5" s="27">
        <v>0.9</v>
      </c>
      <c r="N5" s="29">
        <v>46206</v>
      </c>
    </row>
    <row r="6" spans="2:14" ht="19.2" thickTop="1" thickBot="1" x14ac:dyDescent="0.4">
      <c r="B6" s="26">
        <v>6</v>
      </c>
      <c r="D6" s="24" t="s">
        <v>25</v>
      </c>
      <c r="F6" s="23">
        <v>46208</v>
      </c>
      <c r="H6" s="25">
        <v>400</v>
      </c>
      <c r="J6" s="23">
        <v>45883</v>
      </c>
      <c r="L6" s="27">
        <v>0.85</v>
      </c>
      <c r="N6" s="29">
        <v>46207</v>
      </c>
    </row>
    <row r="7" spans="2:14" ht="19.2" thickTop="1" thickBot="1" x14ac:dyDescent="0.4">
      <c r="B7" s="26">
        <v>7</v>
      </c>
      <c r="D7" s="24" t="s">
        <v>5</v>
      </c>
      <c r="F7" s="23">
        <v>46209</v>
      </c>
      <c r="H7" s="25">
        <v>500</v>
      </c>
      <c r="J7" s="23">
        <v>45884</v>
      </c>
      <c r="L7" s="21"/>
      <c r="N7" s="29">
        <v>46208</v>
      </c>
    </row>
    <row r="8" spans="2:14" ht="19.2" thickTop="1" thickBot="1" x14ac:dyDescent="0.4">
      <c r="B8" s="26">
        <v>8</v>
      </c>
      <c r="D8" s="24" t="s">
        <v>26</v>
      </c>
      <c r="F8" s="23">
        <v>46210</v>
      </c>
      <c r="H8" s="25">
        <v>600</v>
      </c>
      <c r="J8" s="23">
        <v>45885</v>
      </c>
      <c r="N8" s="29">
        <v>46209</v>
      </c>
    </row>
    <row r="9" spans="2:14" ht="19.2" thickTop="1" thickBot="1" x14ac:dyDescent="0.4">
      <c r="B9" s="26">
        <v>9</v>
      </c>
      <c r="D9" s="24" t="s">
        <v>27</v>
      </c>
      <c r="F9" s="23">
        <v>46211</v>
      </c>
      <c r="H9" s="25">
        <v>650</v>
      </c>
      <c r="J9" s="23">
        <v>45886</v>
      </c>
      <c r="L9" s="28">
        <v>45879</v>
      </c>
      <c r="N9" s="29">
        <v>46210</v>
      </c>
    </row>
    <row r="10" spans="2:14" ht="19.2" thickTop="1" thickBot="1" x14ac:dyDescent="0.4">
      <c r="B10" s="26">
        <v>10</v>
      </c>
      <c r="D10" s="24" t="s">
        <v>28</v>
      </c>
      <c r="F10" s="23">
        <v>46212</v>
      </c>
      <c r="H10" s="25">
        <v>700</v>
      </c>
      <c r="J10" s="23">
        <v>45887</v>
      </c>
      <c r="L10" s="28">
        <v>45880</v>
      </c>
      <c r="N10" s="29">
        <v>46211</v>
      </c>
    </row>
    <row r="11" spans="2:14" ht="19.2" thickTop="1" thickBot="1" x14ac:dyDescent="0.4">
      <c r="B11" s="26">
        <v>11</v>
      </c>
      <c r="D11" s="24" t="s">
        <v>29</v>
      </c>
      <c r="F11" s="23">
        <v>46213</v>
      </c>
      <c r="H11" s="25">
        <v>850</v>
      </c>
      <c r="J11" s="23">
        <v>45888</v>
      </c>
      <c r="L11" s="28">
        <v>45881</v>
      </c>
      <c r="N11" s="29">
        <v>46212</v>
      </c>
    </row>
    <row r="12" spans="2:14" ht="19.2" thickTop="1" thickBot="1" x14ac:dyDescent="0.4">
      <c r="B12" s="26">
        <v>12</v>
      </c>
      <c r="D12" s="24" t="s">
        <v>30</v>
      </c>
      <c r="F12" s="23">
        <v>46214</v>
      </c>
      <c r="J12" s="23">
        <v>45889</v>
      </c>
      <c r="L12" s="28">
        <v>45882</v>
      </c>
      <c r="N12" s="29">
        <v>46213</v>
      </c>
    </row>
    <row r="13" spans="2:14" ht="19.2" thickTop="1" thickBot="1" x14ac:dyDescent="0.4">
      <c r="B13" s="26">
        <v>13</v>
      </c>
      <c r="D13" s="24" t="s">
        <v>31</v>
      </c>
      <c r="F13" s="23">
        <v>46215</v>
      </c>
      <c r="J13" s="23">
        <v>45890</v>
      </c>
      <c r="L13" s="28">
        <v>45883</v>
      </c>
      <c r="N13" s="29">
        <v>46214</v>
      </c>
    </row>
    <row r="14" spans="2:14" ht="19.2" thickTop="1" thickBot="1" x14ac:dyDescent="0.4">
      <c r="B14" s="26">
        <v>14</v>
      </c>
      <c r="D14" s="24" t="s">
        <v>32</v>
      </c>
      <c r="F14" s="23">
        <v>46216</v>
      </c>
      <c r="J14" s="23">
        <v>45891</v>
      </c>
      <c r="L14" s="28">
        <v>45884</v>
      </c>
      <c r="N14" s="29">
        <v>46215</v>
      </c>
    </row>
    <row r="15" spans="2:14" ht="19.2" thickTop="1" thickBot="1" x14ac:dyDescent="0.4">
      <c r="B15" s="26">
        <v>15</v>
      </c>
      <c r="F15" s="23">
        <v>46217</v>
      </c>
      <c r="J15" s="23">
        <v>45892</v>
      </c>
      <c r="L15" s="28">
        <v>45885</v>
      </c>
      <c r="N15" s="29">
        <v>46216</v>
      </c>
    </row>
    <row r="16" spans="2:14" ht="19.2" thickTop="1" thickBot="1" x14ac:dyDescent="0.4">
      <c r="B16" s="26">
        <v>16</v>
      </c>
      <c r="F16" s="23">
        <v>46218</v>
      </c>
      <c r="J16" s="23">
        <v>45893</v>
      </c>
      <c r="L16" s="28">
        <v>45886</v>
      </c>
      <c r="N16" s="29">
        <v>46217</v>
      </c>
    </row>
    <row r="17" spans="2:14" ht="19.2" thickTop="1" thickBot="1" x14ac:dyDescent="0.4">
      <c r="B17" s="26">
        <v>17</v>
      </c>
      <c r="F17" s="23">
        <v>46219</v>
      </c>
      <c r="J17" s="23">
        <v>45894</v>
      </c>
      <c r="L17" s="28">
        <v>45887</v>
      </c>
      <c r="N17" s="29">
        <v>46218</v>
      </c>
    </row>
    <row r="18" spans="2:14" ht="19.2" thickTop="1" thickBot="1" x14ac:dyDescent="0.4">
      <c r="B18" s="26">
        <v>18</v>
      </c>
      <c r="F18" s="23">
        <v>46220</v>
      </c>
      <c r="L18" s="28">
        <v>45888</v>
      </c>
      <c r="N18" s="29">
        <v>46219</v>
      </c>
    </row>
    <row r="19" spans="2:14" ht="19.2" thickTop="1" thickBot="1" x14ac:dyDescent="0.4">
      <c r="B19" s="26">
        <v>19</v>
      </c>
      <c r="L19" s="28">
        <v>45889</v>
      </c>
      <c r="N19" s="29">
        <v>46220</v>
      </c>
    </row>
    <row r="20" spans="2:14" ht="19.2" thickTop="1" thickBot="1" x14ac:dyDescent="0.4">
      <c r="B20" s="26">
        <v>20</v>
      </c>
      <c r="L20" s="28">
        <v>45890</v>
      </c>
    </row>
    <row r="21" spans="2:14" ht="19.2" thickTop="1" thickBot="1" x14ac:dyDescent="0.4">
      <c r="B21" s="26">
        <v>21</v>
      </c>
      <c r="L21" s="28">
        <v>45891</v>
      </c>
    </row>
    <row r="22" spans="2:14" ht="19.2" thickTop="1" thickBot="1" x14ac:dyDescent="0.4">
      <c r="B22" s="26">
        <v>22</v>
      </c>
      <c r="L22" s="28">
        <v>45892</v>
      </c>
    </row>
    <row r="23" spans="2:14" ht="19.2" thickTop="1" thickBot="1" x14ac:dyDescent="0.4">
      <c r="B23" s="26">
        <v>23</v>
      </c>
      <c r="L23" s="28">
        <v>45893</v>
      </c>
    </row>
    <row r="24" spans="2:14" ht="19.2" thickTop="1" thickBot="1" x14ac:dyDescent="0.4">
      <c r="B24" s="26">
        <v>24</v>
      </c>
      <c r="L24" s="28">
        <v>45894</v>
      </c>
    </row>
    <row r="25" spans="2:14" ht="19.2" thickTop="1" thickBot="1" x14ac:dyDescent="0.4">
      <c r="B25" s="26">
        <v>25</v>
      </c>
    </row>
    <row r="26" spans="2:14" ht="18.600000000000001" thickTop="1" x14ac:dyDescent="0.3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065C-1704-49EC-AFA9-BD82C34DFB74}">
  <dimension ref="B1:I14"/>
  <sheetViews>
    <sheetView workbookViewId="0">
      <selection activeCell="F2" sqref="F2:F7"/>
    </sheetView>
  </sheetViews>
  <sheetFormatPr defaultRowHeight="18" x14ac:dyDescent="0.3"/>
  <cols>
    <col min="1" max="1" width="8.88671875" style="30"/>
    <col min="2" max="2" width="15.5546875" style="30" bestFit="1" customWidth="1"/>
    <col min="3" max="4" width="8.88671875" style="30"/>
    <col min="5" max="5" width="12.44140625" style="30" customWidth="1"/>
    <col min="6" max="6" width="8.88671875" style="30"/>
    <col min="7" max="7" width="11.77734375" style="30" customWidth="1"/>
    <col min="8" max="8" width="13.44140625" style="30" customWidth="1"/>
    <col min="9" max="9" width="12.44140625" style="30" customWidth="1"/>
    <col min="10" max="16384" width="8.88671875" style="30"/>
  </cols>
  <sheetData>
    <row r="1" spans="2:9" ht="22.2" thickTop="1" thickBot="1" x14ac:dyDescent="0.45">
      <c r="B1" s="36">
        <v>45886</v>
      </c>
      <c r="C1" s="375" t="s">
        <v>64</v>
      </c>
    </row>
    <row r="2" spans="2:9" ht="19.2" customHeight="1" thickTop="1" thickBot="1" x14ac:dyDescent="0.45">
      <c r="B2" s="36">
        <v>45885</v>
      </c>
      <c r="C2" s="375"/>
      <c r="D2" s="31">
        <v>850</v>
      </c>
      <c r="E2" s="375" t="s">
        <v>64</v>
      </c>
      <c r="F2" s="33">
        <v>0.3</v>
      </c>
      <c r="G2" s="375" t="s">
        <v>63</v>
      </c>
      <c r="H2" s="32" t="s">
        <v>57</v>
      </c>
      <c r="I2" s="375" t="s">
        <v>63</v>
      </c>
    </row>
    <row r="3" spans="2:9" ht="22.2" thickTop="1" thickBot="1" x14ac:dyDescent="0.45">
      <c r="B3" s="36">
        <v>45884</v>
      </c>
      <c r="C3" s="375"/>
      <c r="D3" s="31">
        <v>700</v>
      </c>
      <c r="E3" s="375"/>
      <c r="F3" s="33">
        <v>0.5</v>
      </c>
      <c r="G3" s="375"/>
      <c r="H3" s="32" t="s">
        <v>59</v>
      </c>
      <c r="I3" s="375"/>
    </row>
    <row r="4" spans="2:9" ht="22.2" thickTop="1" thickBot="1" x14ac:dyDescent="0.45">
      <c r="B4" s="36">
        <v>45883</v>
      </c>
      <c r="C4" s="375"/>
      <c r="D4" s="31">
        <v>650</v>
      </c>
      <c r="E4" s="375"/>
      <c r="F4" s="33">
        <v>0.52</v>
      </c>
      <c r="G4" s="375"/>
      <c r="H4" s="32" t="s">
        <v>60</v>
      </c>
      <c r="I4" s="375"/>
    </row>
    <row r="5" spans="2:9" ht="22.2" thickTop="1" thickBot="1" x14ac:dyDescent="0.45">
      <c r="B5" s="36">
        <v>45882</v>
      </c>
      <c r="C5" s="375"/>
      <c r="D5" s="31">
        <v>600</v>
      </c>
      <c r="E5" s="375"/>
      <c r="F5" s="33">
        <v>0.85</v>
      </c>
      <c r="G5" s="375"/>
      <c r="H5" s="32" t="s">
        <v>62</v>
      </c>
      <c r="I5" s="375"/>
    </row>
    <row r="6" spans="2:9" ht="22.2" thickTop="1" thickBot="1" x14ac:dyDescent="0.45">
      <c r="B6" s="36">
        <v>45881</v>
      </c>
      <c r="C6" s="375"/>
      <c r="D6" s="31">
        <v>500</v>
      </c>
      <c r="E6" s="375"/>
      <c r="F6" s="33">
        <v>0.9</v>
      </c>
      <c r="G6" s="375"/>
      <c r="H6" s="32" t="s">
        <v>58</v>
      </c>
      <c r="I6" s="375"/>
    </row>
    <row r="7" spans="2:9" ht="22.2" thickTop="1" thickBot="1" x14ac:dyDescent="0.45">
      <c r="B7" s="36">
        <v>45880</v>
      </c>
      <c r="C7" s="375"/>
      <c r="D7" s="31">
        <v>400</v>
      </c>
      <c r="E7" s="375"/>
      <c r="F7" s="34"/>
      <c r="G7" s="375"/>
      <c r="H7" s="32" t="s">
        <v>61</v>
      </c>
      <c r="I7" s="375"/>
    </row>
    <row r="8" spans="2:9" ht="22.2" thickTop="1" thickBot="1" x14ac:dyDescent="0.45">
      <c r="B8" s="36">
        <v>45879</v>
      </c>
      <c r="C8" s="375"/>
      <c r="D8" s="31">
        <v>300</v>
      </c>
      <c r="E8" s="375"/>
    </row>
    <row r="9" spans="2:9" ht="22.2" thickTop="1" thickBot="1" x14ac:dyDescent="0.45">
      <c r="B9" s="36">
        <v>45878</v>
      </c>
      <c r="C9" s="375"/>
      <c r="D9" s="31">
        <v>250</v>
      </c>
      <c r="E9" s="375"/>
    </row>
    <row r="10" spans="2:9" ht="22.2" thickTop="1" thickBot="1" x14ac:dyDescent="0.45">
      <c r="B10" s="36">
        <v>45877</v>
      </c>
      <c r="C10" s="375"/>
      <c r="D10" s="31">
        <v>150</v>
      </c>
      <c r="E10" s="375"/>
    </row>
    <row r="11" spans="2:9" ht="19.2" thickTop="1" thickBot="1" x14ac:dyDescent="0.35">
      <c r="B11" s="35"/>
      <c r="D11" s="31">
        <v>100</v>
      </c>
      <c r="E11" s="375"/>
    </row>
    <row r="12" spans="2:9" ht="19.2" thickTop="1" thickBot="1" x14ac:dyDescent="0.35">
      <c r="B12" s="35"/>
    </row>
    <row r="13" spans="2:9" ht="19.2" thickTop="1" thickBot="1" x14ac:dyDescent="0.35">
      <c r="B13" s="35"/>
    </row>
    <row r="14" spans="2:9" ht="18.600000000000001" thickTop="1" x14ac:dyDescent="0.3"/>
  </sheetData>
  <sortState xmlns:xlrd2="http://schemas.microsoft.com/office/spreadsheetml/2017/richdata2" ref="B1:B8">
    <sortCondition descending="1" ref="B1:B8"/>
  </sortState>
  <mergeCells count="4">
    <mergeCell ref="I2:I7"/>
    <mergeCell ref="G2:G7"/>
    <mergeCell ref="E2:E11"/>
    <mergeCell ref="C1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1300-7851-4D32-BD28-254005FAC635}">
  <dimension ref="B2:I38"/>
  <sheetViews>
    <sheetView topLeftCell="B1" zoomScale="120" zoomScaleNormal="120" workbookViewId="0">
      <selection activeCell="B2" sqref="B2:E22"/>
    </sheetView>
  </sheetViews>
  <sheetFormatPr defaultRowHeight="13.8" x14ac:dyDescent="0.3"/>
  <cols>
    <col min="1" max="1" width="8.88671875" style="46"/>
    <col min="2" max="2" width="27.109375" style="46" customWidth="1"/>
    <col min="3" max="3" width="18.44140625" style="46" customWidth="1"/>
    <col min="4" max="4" width="19.21875" style="46" customWidth="1"/>
    <col min="5" max="5" width="12.33203125" style="46" customWidth="1"/>
    <col min="6" max="6" width="8.88671875" style="46"/>
    <col min="7" max="7" width="55.21875" style="46" bestFit="1" customWidth="1"/>
    <col min="8" max="8" width="37.6640625" style="46" customWidth="1"/>
    <col min="9" max="9" width="3.6640625" style="46" bestFit="1" customWidth="1"/>
    <col min="10" max="16384" width="8.88671875" style="46"/>
  </cols>
  <sheetData>
    <row r="2" spans="2:9" x14ac:dyDescent="0.3">
      <c r="B2" s="43" t="s">
        <v>65</v>
      </c>
      <c r="C2" s="43" t="s">
        <v>66</v>
      </c>
      <c r="D2" s="43" t="s">
        <v>67</v>
      </c>
      <c r="E2" s="43" t="s">
        <v>68</v>
      </c>
      <c r="F2" s="44"/>
      <c r="G2" s="45" t="s">
        <v>69</v>
      </c>
      <c r="H2" s="44"/>
      <c r="I2" s="44"/>
    </row>
    <row r="3" spans="2:9" x14ac:dyDescent="0.3">
      <c r="B3" s="47" t="s">
        <v>70</v>
      </c>
      <c r="C3" s="48">
        <v>5000</v>
      </c>
      <c r="D3" s="49">
        <v>45299</v>
      </c>
      <c r="E3" s="47" t="s">
        <v>71</v>
      </c>
      <c r="F3" s="44"/>
      <c r="G3" s="44"/>
      <c r="H3" s="44"/>
      <c r="I3" s="44"/>
    </row>
    <row r="4" spans="2:9" ht="19.2" customHeight="1" x14ac:dyDescent="0.3">
      <c r="B4" s="47" t="s">
        <v>72</v>
      </c>
      <c r="C4" s="48">
        <v>6000</v>
      </c>
      <c r="D4" s="49">
        <v>45297</v>
      </c>
      <c r="E4" s="47" t="s">
        <v>73</v>
      </c>
      <c r="F4" s="44"/>
      <c r="G4" s="50">
        <f>SUM(C3,C4,C5,C6,C7,C8,C9)</f>
        <v>55000</v>
      </c>
      <c r="H4" s="376" t="s">
        <v>74</v>
      </c>
      <c r="I4" s="51"/>
    </row>
    <row r="5" spans="2:9" x14ac:dyDescent="0.3">
      <c r="B5" s="47" t="s">
        <v>75</v>
      </c>
      <c r="C5" s="48">
        <v>7000</v>
      </c>
      <c r="D5" s="49">
        <v>45308</v>
      </c>
      <c r="E5" s="47" t="s">
        <v>73</v>
      </c>
      <c r="F5" s="44"/>
      <c r="G5" s="52">
        <f>SUM(C3:C9)</f>
        <v>55000</v>
      </c>
      <c r="H5" s="377"/>
      <c r="I5" s="51"/>
    </row>
    <row r="6" spans="2:9" x14ac:dyDescent="0.3">
      <c r="B6" s="47" t="s">
        <v>76</v>
      </c>
      <c r="C6" s="48">
        <v>8000</v>
      </c>
      <c r="D6" s="49">
        <v>45301</v>
      </c>
      <c r="E6" s="47" t="s">
        <v>73</v>
      </c>
      <c r="F6" s="44"/>
      <c r="G6" s="53"/>
      <c r="H6" s="54"/>
      <c r="I6" s="51"/>
    </row>
    <row r="7" spans="2:9" x14ac:dyDescent="0.3">
      <c r="B7" s="47" t="s">
        <v>77</v>
      </c>
      <c r="C7" s="48">
        <v>9000</v>
      </c>
      <c r="D7" s="49">
        <v>45297</v>
      </c>
      <c r="E7" s="47" t="s">
        <v>78</v>
      </c>
      <c r="F7" s="44"/>
      <c r="G7" s="50">
        <f>SUM(C3:C22)</f>
        <v>444000</v>
      </c>
      <c r="H7" s="55" t="s">
        <v>79</v>
      </c>
      <c r="I7" s="51"/>
    </row>
    <row r="8" spans="2:9" x14ac:dyDescent="0.3">
      <c r="B8" s="47" t="s">
        <v>80</v>
      </c>
      <c r="C8" s="48">
        <v>10000</v>
      </c>
      <c r="D8" s="49">
        <v>45292</v>
      </c>
      <c r="E8" s="47" t="s">
        <v>81</v>
      </c>
      <c r="F8" s="44"/>
      <c r="G8" s="44"/>
      <c r="H8" s="44"/>
      <c r="I8" s="44"/>
    </row>
    <row r="9" spans="2:9" x14ac:dyDescent="0.3">
      <c r="B9" s="47" t="s">
        <v>75</v>
      </c>
      <c r="C9" s="48">
        <v>10000</v>
      </c>
      <c r="D9" s="49">
        <v>45313</v>
      </c>
      <c r="E9" s="47" t="s">
        <v>71</v>
      </c>
      <c r="F9" s="44"/>
      <c r="G9" s="56">
        <f>PRODUCT(C3:C9)</f>
        <v>1.512E+27</v>
      </c>
      <c r="H9" s="55" t="s">
        <v>82</v>
      </c>
      <c r="I9" s="44"/>
    </row>
    <row r="10" spans="2:9" x14ac:dyDescent="0.3">
      <c r="B10" s="47" t="s">
        <v>83</v>
      </c>
      <c r="C10" s="57">
        <v>15000</v>
      </c>
      <c r="D10" s="49">
        <v>45294</v>
      </c>
      <c r="E10" s="47" t="s">
        <v>81</v>
      </c>
      <c r="F10" s="44"/>
      <c r="G10" s="58"/>
      <c r="H10" s="59"/>
      <c r="I10" s="44"/>
    </row>
    <row r="11" spans="2:9" x14ac:dyDescent="0.3">
      <c r="B11" s="47" t="s">
        <v>84</v>
      </c>
      <c r="C11" s="57">
        <v>18000</v>
      </c>
      <c r="D11" s="49">
        <v>45310</v>
      </c>
      <c r="E11" s="47" t="s">
        <v>81</v>
      </c>
      <c r="F11" s="44"/>
      <c r="G11" s="60"/>
      <c r="H11" s="44"/>
      <c r="I11" s="44"/>
    </row>
    <row r="12" spans="2:9" x14ac:dyDescent="0.3">
      <c r="B12" s="47" t="s">
        <v>85</v>
      </c>
      <c r="C12" s="57">
        <v>25000</v>
      </c>
      <c r="D12" s="49">
        <v>45311</v>
      </c>
      <c r="E12" s="47" t="s">
        <v>78</v>
      </c>
      <c r="F12" s="44"/>
      <c r="G12" s="44"/>
      <c r="H12" s="44"/>
      <c r="I12" s="44"/>
    </row>
    <row r="13" spans="2:9" x14ac:dyDescent="0.3">
      <c r="B13" s="47" t="s">
        <v>86</v>
      </c>
      <c r="C13" s="57">
        <v>25000</v>
      </c>
      <c r="D13" s="49">
        <v>45301</v>
      </c>
      <c r="E13" s="47" t="s">
        <v>81</v>
      </c>
      <c r="F13" s="44"/>
      <c r="G13" s="79" t="str">
        <f>IMSUB(C9,C3)</f>
        <v>5000</v>
      </c>
      <c r="H13" s="55" t="s">
        <v>87</v>
      </c>
      <c r="I13" s="44"/>
    </row>
    <row r="14" spans="2:9" x14ac:dyDescent="0.3">
      <c r="B14" s="47" t="s">
        <v>88</v>
      </c>
      <c r="C14" s="57">
        <v>30000</v>
      </c>
      <c r="D14" s="49">
        <v>45306</v>
      </c>
      <c r="E14" s="47" t="s">
        <v>71</v>
      </c>
      <c r="F14" s="44"/>
      <c r="G14" s="61">
        <f>C9-C3</f>
        <v>5000</v>
      </c>
      <c r="H14" s="55" t="s">
        <v>87</v>
      </c>
      <c r="I14" s="44"/>
    </row>
    <row r="15" spans="2:9" x14ac:dyDescent="0.3">
      <c r="B15" s="47" t="s">
        <v>89</v>
      </c>
      <c r="C15" s="57">
        <v>30000</v>
      </c>
      <c r="D15" s="49">
        <v>45304</v>
      </c>
      <c r="E15" s="47" t="s">
        <v>71</v>
      </c>
      <c r="F15" s="44"/>
      <c r="G15" s="44"/>
      <c r="H15" s="44"/>
      <c r="I15" s="44"/>
    </row>
    <row r="16" spans="2:9" x14ac:dyDescent="0.3">
      <c r="B16" s="47" t="s">
        <v>90</v>
      </c>
      <c r="C16" s="57">
        <v>35000</v>
      </c>
      <c r="D16" s="49">
        <v>45304</v>
      </c>
      <c r="E16" s="47" t="s">
        <v>71</v>
      </c>
      <c r="F16" s="44"/>
      <c r="H16" s="59"/>
      <c r="I16" s="44"/>
    </row>
    <row r="17" spans="2:9" ht="14.4" thickBot="1" x14ac:dyDescent="0.35">
      <c r="B17" s="47" t="s">
        <v>91</v>
      </c>
      <c r="C17" s="62">
        <v>36000</v>
      </c>
      <c r="D17" s="49">
        <v>45302</v>
      </c>
      <c r="E17" s="47" t="s">
        <v>78</v>
      </c>
      <c r="F17" s="44"/>
      <c r="G17" s="80">
        <f>AVERAGE(C3:C22)</f>
        <v>24666.666666666668</v>
      </c>
      <c r="H17" s="55" t="s">
        <v>92</v>
      </c>
      <c r="I17" s="44"/>
    </row>
    <row r="18" spans="2:9" ht="14.4" thickBot="1" x14ac:dyDescent="0.35">
      <c r="B18" s="63" t="s">
        <v>93</v>
      </c>
      <c r="C18" s="64"/>
      <c r="D18" s="65">
        <v>45303</v>
      </c>
      <c r="E18" s="47" t="s">
        <v>78</v>
      </c>
      <c r="F18" s="44"/>
      <c r="G18" s="55"/>
      <c r="H18" s="59"/>
      <c r="I18" s="44"/>
    </row>
    <row r="19" spans="2:9" x14ac:dyDescent="0.3">
      <c r="B19" s="47" t="s">
        <v>70</v>
      </c>
      <c r="C19" s="66">
        <v>45000</v>
      </c>
      <c r="D19" s="49">
        <v>45298</v>
      </c>
      <c r="E19" s="47" t="s">
        <v>73</v>
      </c>
      <c r="F19" s="44"/>
      <c r="G19" s="50">
        <f>MIN(C3:C22)</f>
        <v>5000</v>
      </c>
      <c r="H19" s="55" t="s">
        <v>94</v>
      </c>
      <c r="I19" s="44"/>
    </row>
    <row r="20" spans="2:9" ht="14.4" thickBot="1" x14ac:dyDescent="0.35">
      <c r="B20" s="47" t="s">
        <v>77</v>
      </c>
      <c r="C20" s="62">
        <v>50000</v>
      </c>
      <c r="D20" s="67">
        <v>45313</v>
      </c>
      <c r="E20" s="68" t="s">
        <v>81</v>
      </c>
      <c r="F20" s="44"/>
      <c r="G20" s="50">
        <f>MAX(C3:C22)</f>
        <v>80000</v>
      </c>
      <c r="H20" s="55" t="s">
        <v>95</v>
      </c>
      <c r="I20" s="44"/>
    </row>
    <row r="21" spans="2:9" ht="14.4" thickBot="1" x14ac:dyDescent="0.35">
      <c r="B21" s="63" t="s">
        <v>84</v>
      </c>
      <c r="C21" s="69" t="s">
        <v>96</v>
      </c>
      <c r="D21" s="70">
        <v>45295</v>
      </c>
      <c r="E21" s="71" t="s">
        <v>78</v>
      </c>
      <c r="F21" s="44"/>
      <c r="G21" s="55">
        <f>COUNT(C3:C22)</f>
        <v>18</v>
      </c>
      <c r="H21" s="55" t="s">
        <v>97</v>
      </c>
      <c r="I21" s="44"/>
    </row>
    <row r="22" spans="2:9" x14ac:dyDescent="0.3">
      <c r="B22" s="47" t="s">
        <v>86</v>
      </c>
      <c r="C22" s="66">
        <v>80000</v>
      </c>
      <c r="D22" s="72">
        <v>45296</v>
      </c>
      <c r="E22" s="71" t="s">
        <v>78</v>
      </c>
      <c r="F22" s="44"/>
      <c r="G22" s="55">
        <f>COUNTA(C3:C22)</f>
        <v>19</v>
      </c>
      <c r="H22" s="55" t="s">
        <v>98</v>
      </c>
      <c r="I22" s="44"/>
    </row>
    <row r="23" spans="2:9" ht="30" customHeight="1" x14ac:dyDescent="0.3">
      <c r="B23" s="73" t="s">
        <v>99</v>
      </c>
      <c r="C23" s="81">
        <f>SUM(C3:C22)</f>
        <v>444000</v>
      </c>
      <c r="D23" s="44"/>
      <c r="E23" s="44"/>
      <c r="F23" s="44"/>
      <c r="G23" s="55">
        <f>COUNTBLANK(C3:C22)</f>
        <v>1</v>
      </c>
      <c r="H23" s="55" t="s">
        <v>100</v>
      </c>
      <c r="I23" s="74"/>
    </row>
    <row r="24" spans="2:9" ht="26.4" x14ac:dyDescent="0.3">
      <c r="B24" s="44"/>
      <c r="C24" s="44"/>
      <c r="D24" s="75" t="s">
        <v>131</v>
      </c>
      <c r="E24" s="44"/>
      <c r="F24" s="44"/>
      <c r="G24" s="74"/>
      <c r="H24" s="53"/>
      <c r="I24" s="74"/>
    </row>
    <row r="25" spans="2:9" ht="26.4" x14ac:dyDescent="0.3">
      <c r="B25" s="57">
        <v>5000</v>
      </c>
      <c r="C25" s="58">
        <f>5000+6000+7000+8000+9000</f>
        <v>35000</v>
      </c>
      <c r="D25" s="76" t="s">
        <v>124</v>
      </c>
      <c r="E25" s="378" t="s">
        <v>126</v>
      </c>
    </row>
    <row r="26" spans="2:9" ht="26.4" x14ac:dyDescent="0.3">
      <c r="B26" s="57">
        <v>10000</v>
      </c>
      <c r="C26" s="77">
        <f>B25+B26+B27+B28+B29</f>
        <v>45000</v>
      </c>
      <c r="D26" s="76" t="s">
        <v>125</v>
      </c>
      <c r="E26" s="379"/>
    </row>
    <row r="27" spans="2:9" ht="21" customHeight="1" x14ac:dyDescent="0.3">
      <c r="B27" s="57">
        <v>7000</v>
      </c>
      <c r="C27" s="77">
        <f>B26-B27</f>
        <v>3000</v>
      </c>
      <c r="D27" s="76" t="s">
        <v>127</v>
      </c>
      <c r="E27" s="379"/>
      <c r="G27" s="52"/>
    </row>
    <row r="28" spans="2:9" ht="21" customHeight="1" x14ac:dyDescent="0.3">
      <c r="B28" s="57">
        <v>8000</v>
      </c>
      <c r="C28" s="58">
        <f>B26/B25</f>
        <v>2</v>
      </c>
      <c r="D28" s="76" t="s">
        <v>128</v>
      </c>
      <c r="E28" s="379"/>
    </row>
    <row r="29" spans="2:9" x14ac:dyDescent="0.3">
      <c r="B29" s="57">
        <v>15000</v>
      </c>
      <c r="C29" s="58">
        <f>B25*B26</f>
        <v>50000000</v>
      </c>
      <c r="D29" s="76" t="s">
        <v>129</v>
      </c>
      <c r="E29" s="379"/>
      <c r="G29" s="52"/>
    </row>
    <row r="30" spans="2:9" x14ac:dyDescent="0.3">
      <c r="B30" s="78"/>
      <c r="C30" s="77">
        <f>B25*B26*B28</f>
        <v>400000000000</v>
      </c>
      <c r="D30" s="76" t="s">
        <v>130</v>
      </c>
      <c r="E30" s="380"/>
    </row>
    <row r="33" spans="7:7" x14ac:dyDescent="0.3">
      <c r="G33" s="52"/>
    </row>
    <row r="38" spans="7:7" x14ac:dyDescent="0.3">
      <c r="G38" s="52"/>
    </row>
  </sheetData>
  <mergeCells count="2">
    <mergeCell ref="H4:H5"/>
    <mergeCell ref="E25:E30"/>
  </mergeCells>
  <pageMargins left="0.7" right="0.7" top="0.75" bottom="0.75" header="0.3" footer="0.3"/>
  <ignoredErrors>
    <ignoredError sqref="G9 G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F212-F5C1-4687-BDD6-555F015070A4}">
  <dimension ref="B2:J23"/>
  <sheetViews>
    <sheetView workbookViewId="0">
      <selection activeCell="B2" sqref="B2:E22"/>
    </sheetView>
  </sheetViews>
  <sheetFormatPr defaultColWidth="21.77734375" defaultRowHeight="15.6" x14ac:dyDescent="0.3"/>
  <cols>
    <col min="1" max="1" width="10.6640625" style="107" customWidth="1"/>
    <col min="2" max="4" width="21.77734375" style="107"/>
    <col min="5" max="5" width="14.88671875" style="107" customWidth="1"/>
    <col min="6" max="6" width="13.21875" style="107" customWidth="1"/>
    <col min="7" max="9" width="21.77734375" style="107"/>
    <col min="10" max="10" width="16.109375" style="107" customWidth="1"/>
    <col min="11" max="16384" width="21.77734375" style="107"/>
  </cols>
  <sheetData>
    <row r="2" spans="2:10" s="13" customFormat="1" ht="18" x14ac:dyDescent="0.35">
      <c r="B2" s="171" t="s">
        <v>65</v>
      </c>
      <c r="C2" s="171" t="s">
        <v>66</v>
      </c>
      <c r="D2" s="171" t="s">
        <v>67</v>
      </c>
      <c r="E2" s="171" t="s">
        <v>68</v>
      </c>
      <c r="G2" s="172" t="s">
        <v>65</v>
      </c>
      <c r="H2" s="173" t="s">
        <v>66</v>
      </c>
      <c r="I2" s="173" t="s">
        <v>67</v>
      </c>
      <c r="J2" s="173" t="s">
        <v>68</v>
      </c>
    </row>
    <row r="3" spans="2:10" x14ac:dyDescent="0.3">
      <c r="B3" s="156" t="s">
        <v>70</v>
      </c>
      <c r="C3" s="157">
        <v>5000</v>
      </c>
      <c r="D3" s="158">
        <v>46030</v>
      </c>
      <c r="E3" s="156" t="s">
        <v>71</v>
      </c>
      <c r="G3" s="174" t="s">
        <v>72</v>
      </c>
      <c r="H3" s="175">
        <v>6000</v>
      </c>
      <c r="I3" s="176">
        <v>46028</v>
      </c>
      <c r="J3" s="177" t="s">
        <v>73</v>
      </c>
    </row>
    <row r="4" spans="2:10" ht="16.2" thickBot="1" x14ac:dyDescent="0.35">
      <c r="B4" s="156" t="s">
        <v>72</v>
      </c>
      <c r="C4" s="157">
        <v>6000</v>
      </c>
      <c r="D4" s="158">
        <v>46028</v>
      </c>
      <c r="E4" s="156" t="s">
        <v>73</v>
      </c>
      <c r="G4" s="174" t="s">
        <v>75</v>
      </c>
      <c r="H4" s="175">
        <v>7000</v>
      </c>
      <c r="I4" s="176">
        <v>46039</v>
      </c>
      <c r="J4" s="177" t="s">
        <v>73</v>
      </c>
    </row>
    <row r="5" spans="2:10" ht="16.2" thickBot="1" x14ac:dyDescent="0.35">
      <c r="B5" s="156" t="s">
        <v>75</v>
      </c>
      <c r="C5" s="157">
        <v>7000</v>
      </c>
      <c r="D5" s="158">
        <v>46039</v>
      </c>
      <c r="E5" s="156" t="s">
        <v>73</v>
      </c>
      <c r="G5" s="174" t="s">
        <v>76</v>
      </c>
      <c r="H5" s="175">
        <v>8000</v>
      </c>
      <c r="I5" s="176">
        <v>46032</v>
      </c>
      <c r="J5" s="177" t="s">
        <v>73</v>
      </c>
    </row>
    <row r="6" spans="2:10" ht="16.2" thickBot="1" x14ac:dyDescent="0.35">
      <c r="B6" s="156" t="s">
        <v>76</v>
      </c>
      <c r="C6" s="157">
        <v>8000</v>
      </c>
      <c r="D6" s="158">
        <v>46032</v>
      </c>
      <c r="E6" s="156" t="s">
        <v>73</v>
      </c>
      <c r="G6" s="174" t="s">
        <v>83</v>
      </c>
      <c r="H6" s="175">
        <v>15000</v>
      </c>
      <c r="I6" s="176">
        <v>46025</v>
      </c>
      <c r="J6" s="177" t="s">
        <v>81</v>
      </c>
    </row>
    <row r="7" spans="2:10" ht="16.2" thickBot="1" x14ac:dyDescent="0.35">
      <c r="B7" s="156" t="s">
        <v>77</v>
      </c>
      <c r="C7" s="157">
        <v>9000</v>
      </c>
      <c r="D7" s="158">
        <v>46028</v>
      </c>
      <c r="E7" s="156" t="s">
        <v>78</v>
      </c>
      <c r="G7" s="174" t="s">
        <v>77</v>
      </c>
      <c r="H7" s="175">
        <v>9000</v>
      </c>
      <c r="I7" s="176">
        <v>46028</v>
      </c>
      <c r="J7" s="177" t="s">
        <v>78</v>
      </c>
    </row>
    <row r="8" spans="2:10" ht="16.2" thickBot="1" x14ac:dyDescent="0.35">
      <c r="B8" s="156" t="s">
        <v>80</v>
      </c>
      <c r="C8" s="157">
        <v>10000</v>
      </c>
      <c r="D8" s="158">
        <v>46023</v>
      </c>
      <c r="E8" s="156" t="s">
        <v>81</v>
      </c>
      <c r="G8" s="174" t="s">
        <v>80</v>
      </c>
      <c r="H8" s="175">
        <v>10000</v>
      </c>
      <c r="I8" s="176">
        <v>46023</v>
      </c>
      <c r="J8" s="177" t="s">
        <v>81</v>
      </c>
    </row>
    <row r="9" spans="2:10" ht="16.2" thickBot="1" x14ac:dyDescent="0.35">
      <c r="B9" s="156" t="s">
        <v>75</v>
      </c>
      <c r="C9" s="157">
        <v>10000</v>
      </c>
      <c r="D9" s="158">
        <v>46044</v>
      </c>
      <c r="E9" s="156" t="s">
        <v>71</v>
      </c>
      <c r="G9" s="174" t="s">
        <v>70</v>
      </c>
      <c r="H9" s="175">
        <v>5000</v>
      </c>
      <c r="I9" s="176">
        <v>46030</v>
      </c>
      <c r="J9" s="177" t="s">
        <v>71</v>
      </c>
    </row>
    <row r="10" spans="2:10" ht="16.2" thickBot="1" x14ac:dyDescent="0.35">
      <c r="B10" s="156" t="s">
        <v>83</v>
      </c>
      <c r="C10" s="159">
        <v>15000</v>
      </c>
      <c r="D10" s="158">
        <v>46025</v>
      </c>
      <c r="E10" s="156" t="s">
        <v>81</v>
      </c>
      <c r="G10" s="174" t="s">
        <v>84</v>
      </c>
      <c r="H10" s="175">
        <v>18000</v>
      </c>
      <c r="I10" s="176">
        <v>46041</v>
      </c>
      <c r="J10" s="177" t="s">
        <v>81</v>
      </c>
    </row>
    <row r="11" spans="2:10" ht="16.2" thickBot="1" x14ac:dyDescent="0.35">
      <c r="B11" s="156" t="s">
        <v>84</v>
      </c>
      <c r="C11" s="159">
        <v>18000</v>
      </c>
      <c r="D11" s="158">
        <v>46041</v>
      </c>
      <c r="E11" s="156" t="s">
        <v>81</v>
      </c>
      <c r="G11" s="174" t="s">
        <v>85</v>
      </c>
      <c r="H11" s="175">
        <v>25000</v>
      </c>
      <c r="I11" s="176">
        <v>46042</v>
      </c>
      <c r="J11" s="177" t="s">
        <v>78</v>
      </c>
    </row>
    <row r="12" spans="2:10" ht="16.2" thickBot="1" x14ac:dyDescent="0.35">
      <c r="B12" s="156" t="s">
        <v>85</v>
      </c>
      <c r="C12" s="159">
        <v>25000</v>
      </c>
      <c r="D12" s="158">
        <v>46042</v>
      </c>
      <c r="E12" s="156" t="s">
        <v>78</v>
      </c>
      <c r="G12" s="174" t="s">
        <v>86</v>
      </c>
      <c r="H12" s="175">
        <v>25000</v>
      </c>
      <c r="I12" s="176">
        <v>46032</v>
      </c>
      <c r="J12" s="177" t="s">
        <v>81</v>
      </c>
    </row>
    <row r="13" spans="2:10" ht="16.2" thickBot="1" x14ac:dyDescent="0.35">
      <c r="B13" s="156" t="s">
        <v>86</v>
      </c>
      <c r="C13" s="159">
        <v>25000</v>
      </c>
      <c r="D13" s="158">
        <v>46032</v>
      </c>
      <c r="E13" s="156" t="s">
        <v>81</v>
      </c>
      <c r="G13" s="174" t="s">
        <v>88</v>
      </c>
      <c r="H13" s="175">
        <v>30000</v>
      </c>
      <c r="I13" s="176">
        <v>46037</v>
      </c>
      <c r="J13" s="177" t="s">
        <v>71</v>
      </c>
    </row>
    <row r="14" spans="2:10" ht="16.2" thickBot="1" x14ac:dyDescent="0.35">
      <c r="B14" s="156" t="s">
        <v>88</v>
      </c>
      <c r="C14" s="159">
        <v>30000</v>
      </c>
      <c r="D14" s="158">
        <v>46037</v>
      </c>
      <c r="E14" s="156" t="s">
        <v>71</v>
      </c>
      <c r="G14" s="174" t="s">
        <v>75</v>
      </c>
      <c r="H14" s="175">
        <v>10000</v>
      </c>
      <c r="I14" s="176">
        <v>46044</v>
      </c>
      <c r="J14" s="177" t="s">
        <v>71</v>
      </c>
    </row>
    <row r="15" spans="2:10" ht="16.2" thickBot="1" x14ac:dyDescent="0.35">
      <c r="B15" s="156" t="s">
        <v>89</v>
      </c>
      <c r="C15" s="159">
        <v>30000</v>
      </c>
      <c r="D15" s="158">
        <v>46035</v>
      </c>
      <c r="E15" s="156" t="s">
        <v>71</v>
      </c>
      <c r="G15" s="174" t="s">
        <v>89</v>
      </c>
      <c r="H15" s="175">
        <v>30000</v>
      </c>
      <c r="I15" s="176">
        <v>46035</v>
      </c>
      <c r="J15" s="177" t="s">
        <v>71</v>
      </c>
    </row>
    <row r="16" spans="2:10" ht="16.2" thickBot="1" x14ac:dyDescent="0.35">
      <c r="B16" s="156" t="s">
        <v>90</v>
      </c>
      <c r="C16" s="159">
        <v>35000</v>
      </c>
      <c r="D16" s="158">
        <v>46035</v>
      </c>
      <c r="E16" s="156" t="s">
        <v>71</v>
      </c>
      <c r="G16" s="174" t="s">
        <v>90</v>
      </c>
      <c r="H16" s="175">
        <v>35000</v>
      </c>
      <c r="I16" s="176">
        <v>46035</v>
      </c>
      <c r="J16" s="177" t="s">
        <v>71</v>
      </c>
    </row>
    <row r="17" spans="2:10" ht="16.2" thickBot="1" x14ac:dyDescent="0.35">
      <c r="B17" s="156" t="s">
        <v>91</v>
      </c>
      <c r="C17" s="160">
        <v>36000</v>
      </c>
      <c r="D17" s="158">
        <v>46033</v>
      </c>
      <c r="E17" s="156" t="s">
        <v>78</v>
      </c>
      <c r="G17" s="174" t="s">
        <v>91</v>
      </c>
      <c r="H17" s="178">
        <v>36000</v>
      </c>
      <c r="I17" s="176">
        <v>46033</v>
      </c>
      <c r="J17" s="177" t="s">
        <v>78</v>
      </c>
    </row>
    <row r="18" spans="2:10" ht="16.2" thickBot="1" x14ac:dyDescent="0.35">
      <c r="B18" s="161" t="s">
        <v>93</v>
      </c>
      <c r="C18" s="162"/>
      <c r="D18" s="163">
        <v>46034</v>
      </c>
      <c r="E18" s="156" t="s">
        <v>78</v>
      </c>
      <c r="G18" s="179"/>
      <c r="H18" s="180"/>
      <c r="I18" s="181"/>
      <c r="J18" s="177" t="s">
        <v>71</v>
      </c>
    </row>
    <row r="19" spans="2:10" x14ac:dyDescent="0.3">
      <c r="B19" s="156" t="s">
        <v>70</v>
      </c>
      <c r="C19" s="164">
        <v>45000</v>
      </c>
      <c r="D19" s="158">
        <v>46029</v>
      </c>
      <c r="E19" s="156" t="s">
        <v>73</v>
      </c>
      <c r="G19" s="174" t="s">
        <v>70</v>
      </c>
      <c r="H19" s="182">
        <v>45000</v>
      </c>
      <c r="I19" s="176">
        <v>46029</v>
      </c>
      <c r="J19" s="177" t="s">
        <v>73</v>
      </c>
    </row>
    <row r="20" spans="2:10" x14ac:dyDescent="0.3">
      <c r="B20" s="156" t="s">
        <v>77</v>
      </c>
      <c r="C20" s="160">
        <v>50000</v>
      </c>
      <c r="D20" s="165">
        <v>46044</v>
      </c>
      <c r="E20" s="166" t="s">
        <v>81</v>
      </c>
      <c r="G20" s="174" t="s">
        <v>77</v>
      </c>
      <c r="H20" s="178">
        <v>50000</v>
      </c>
      <c r="I20" s="183">
        <v>46044</v>
      </c>
      <c r="J20" s="184" t="s">
        <v>81</v>
      </c>
    </row>
    <row r="21" spans="2:10" ht="16.2" thickBot="1" x14ac:dyDescent="0.35">
      <c r="B21" s="161" t="s">
        <v>84</v>
      </c>
      <c r="C21" s="167" t="s">
        <v>96</v>
      </c>
      <c r="D21" s="168">
        <v>46026</v>
      </c>
      <c r="E21" s="169" t="s">
        <v>78</v>
      </c>
      <c r="G21" s="179" t="s">
        <v>84</v>
      </c>
      <c r="H21" s="185" t="s">
        <v>96</v>
      </c>
      <c r="I21" s="186">
        <v>46026</v>
      </c>
      <c r="J21" s="187" t="s">
        <v>78</v>
      </c>
    </row>
    <row r="22" spans="2:10" x14ac:dyDescent="0.3">
      <c r="B22" s="156" t="s">
        <v>86</v>
      </c>
      <c r="C22" s="164">
        <v>80000</v>
      </c>
      <c r="D22" s="170">
        <v>46027</v>
      </c>
      <c r="E22" s="169" t="s">
        <v>78</v>
      </c>
      <c r="G22" s="174" t="s">
        <v>86</v>
      </c>
      <c r="H22" s="182">
        <v>80000</v>
      </c>
      <c r="I22" s="188">
        <v>46027</v>
      </c>
      <c r="J22" s="187" t="s">
        <v>78</v>
      </c>
    </row>
    <row r="23" spans="2:10" x14ac:dyDescent="0.3">
      <c r="G23" s="189" t="s">
        <v>265</v>
      </c>
      <c r="H23" s="190">
        <f>SUBTOTAL(109,Table1[Prices])</f>
        <v>444000</v>
      </c>
      <c r="I23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A4D7-BCE6-4D30-BAD4-A17D2E4B9BBC}">
  <dimension ref="B2:L26"/>
  <sheetViews>
    <sheetView zoomScaleNormal="100" workbookViewId="0">
      <selection activeCell="B24" sqref="B24"/>
    </sheetView>
  </sheetViews>
  <sheetFormatPr defaultColWidth="15.5546875" defaultRowHeight="14.4" x14ac:dyDescent="0.3"/>
  <cols>
    <col min="1" max="1" width="9.33203125" customWidth="1"/>
    <col min="3" max="3" width="16.88671875" customWidth="1"/>
    <col min="7" max="7" width="13.77734375" customWidth="1"/>
    <col min="8" max="8" width="13.33203125" customWidth="1"/>
    <col min="9" max="9" width="14.44140625" customWidth="1"/>
    <col min="10" max="10" width="12.88671875" customWidth="1"/>
    <col min="11" max="11" width="13.21875" customWidth="1"/>
    <col min="12" max="12" width="12.6640625" customWidth="1"/>
  </cols>
  <sheetData>
    <row r="2" spans="2:12" ht="31.2" x14ac:dyDescent="0.3">
      <c r="B2" s="37" t="s">
        <v>101</v>
      </c>
      <c r="C2" s="37" t="s">
        <v>102</v>
      </c>
      <c r="D2" s="37" t="s">
        <v>103</v>
      </c>
      <c r="E2" s="37" t="s">
        <v>104</v>
      </c>
      <c r="F2" s="37" t="s">
        <v>105</v>
      </c>
      <c r="G2" s="37" t="s">
        <v>106</v>
      </c>
      <c r="H2" s="37" t="s">
        <v>107</v>
      </c>
      <c r="I2" s="37" t="s">
        <v>108</v>
      </c>
      <c r="J2" s="37" t="s">
        <v>109</v>
      </c>
      <c r="K2" s="88" t="s">
        <v>168</v>
      </c>
      <c r="L2" s="37" t="s">
        <v>109</v>
      </c>
    </row>
    <row r="3" spans="2:12" ht="15.6" x14ac:dyDescent="0.3">
      <c r="B3" s="38">
        <v>1</v>
      </c>
      <c r="C3" s="38" t="s">
        <v>110</v>
      </c>
      <c r="D3" s="39">
        <v>10</v>
      </c>
      <c r="E3" s="39">
        <v>100</v>
      </c>
      <c r="F3" s="39">
        <v>90</v>
      </c>
      <c r="G3" s="39">
        <f>SUM(D3:F3)</f>
        <v>200</v>
      </c>
      <c r="H3" s="39">
        <v>300</v>
      </c>
      <c r="I3" s="87">
        <f>G3/H3</f>
        <v>0.66666666666666663</v>
      </c>
      <c r="J3" s="40">
        <f>G3/H3*K3</f>
        <v>66.666666666666657</v>
      </c>
      <c r="K3" s="89">
        <v>100</v>
      </c>
      <c r="L3" s="40">
        <f>G3/H3*$E$18</f>
        <v>66.666666666666657</v>
      </c>
    </row>
    <row r="4" spans="2:12" ht="15.6" x14ac:dyDescent="0.3">
      <c r="B4" s="38">
        <v>2</v>
      </c>
      <c r="C4" s="38" t="s">
        <v>111</v>
      </c>
      <c r="D4" s="39">
        <v>20</v>
      </c>
      <c r="E4" s="39">
        <v>90</v>
      </c>
      <c r="F4" s="39">
        <v>70</v>
      </c>
      <c r="G4" s="39">
        <f t="shared" ref="G4:G16" si="0">SUM(D4:F4)</f>
        <v>180</v>
      </c>
      <c r="H4" s="39">
        <v>300</v>
      </c>
      <c r="I4" s="87">
        <f t="shared" ref="I4:I16" si="1">G4/H4</f>
        <v>0.6</v>
      </c>
      <c r="J4" s="40">
        <f t="shared" ref="J4:J16" si="2">G4/H4*K4</f>
        <v>60</v>
      </c>
      <c r="K4" s="89">
        <v>100</v>
      </c>
      <c r="L4" s="40">
        <f t="shared" ref="L4:L16" si="3">G4/H4*$E$18</f>
        <v>60</v>
      </c>
    </row>
    <row r="5" spans="2:12" ht="15.6" x14ac:dyDescent="0.3">
      <c r="B5" s="38">
        <v>3</v>
      </c>
      <c r="C5" s="38" t="s">
        <v>112</v>
      </c>
      <c r="D5" s="39">
        <v>30</v>
      </c>
      <c r="E5" s="39">
        <v>80</v>
      </c>
      <c r="F5" s="39">
        <v>50</v>
      </c>
      <c r="G5" s="39">
        <f t="shared" si="0"/>
        <v>160</v>
      </c>
      <c r="H5" s="39">
        <v>300</v>
      </c>
      <c r="I5" s="87">
        <f t="shared" si="1"/>
        <v>0.53333333333333333</v>
      </c>
      <c r="J5" s="40">
        <f t="shared" si="2"/>
        <v>53.333333333333336</v>
      </c>
      <c r="K5" s="89">
        <v>100</v>
      </c>
      <c r="L5" s="40">
        <f t="shared" si="3"/>
        <v>53.333333333333336</v>
      </c>
    </row>
    <row r="6" spans="2:12" ht="15.6" x14ac:dyDescent="0.3">
      <c r="B6" s="38">
        <v>4</v>
      </c>
      <c r="C6" s="38" t="s">
        <v>113</v>
      </c>
      <c r="D6" s="39">
        <v>40</v>
      </c>
      <c r="E6" s="39">
        <v>70</v>
      </c>
      <c r="F6" s="39">
        <v>20</v>
      </c>
      <c r="G6" s="39">
        <f t="shared" si="0"/>
        <v>130</v>
      </c>
      <c r="H6" s="39">
        <v>300</v>
      </c>
      <c r="I6" s="87">
        <f t="shared" si="1"/>
        <v>0.43333333333333335</v>
      </c>
      <c r="J6" s="40">
        <f t="shared" si="2"/>
        <v>43.333333333333336</v>
      </c>
      <c r="K6" s="89">
        <v>100</v>
      </c>
      <c r="L6" s="40">
        <f t="shared" si="3"/>
        <v>43.333333333333336</v>
      </c>
    </row>
    <row r="7" spans="2:12" ht="15.6" x14ac:dyDescent="0.3">
      <c r="B7" s="38">
        <v>5</v>
      </c>
      <c r="C7" s="38" t="s">
        <v>114</v>
      </c>
      <c r="D7" s="39">
        <v>50</v>
      </c>
      <c r="E7" s="39">
        <v>60</v>
      </c>
      <c r="F7" s="39">
        <v>40</v>
      </c>
      <c r="G7" s="39">
        <f t="shared" si="0"/>
        <v>150</v>
      </c>
      <c r="H7" s="39">
        <v>300</v>
      </c>
      <c r="I7" s="87">
        <f t="shared" si="1"/>
        <v>0.5</v>
      </c>
      <c r="J7" s="40">
        <f t="shared" si="2"/>
        <v>50</v>
      </c>
      <c r="K7" s="89">
        <v>100</v>
      </c>
      <c r="L7" s="40">
        <f t="shared" si="3"/>
        <v>50</v>
      </c>
    </row>
    <row r="8" spans="2:12" ht="15.6" x14ac:dyDescent="0.3">
      <c r="B8" s="38">
        <v>6</v>
      </c>
      <c r="C8" s="38" t="s">
        <v>115</v>
      </c>
      <c r="D8" s="39">
        <v>60</v>
      </c>
      <c r="E8" s="39">
        <v>50</v>
      </c>
      <c r="F8" s="39">
        <v>80</v>
      </c>
      <c r="G8" s="39">
        <f t="shared" si="0"/>
        <v>190</v>
      </c>
      <c r="H8" s="39">
        <v>300</v>
      </c>
      <c r="I8" s="87">
        <f t="shared" si="1"/>
        <v>0.6333333333333333</v>
      </c>
      <c r="J8" s="40">
        <f t="shared" si="2"/>
        <v>63.333333333333329</v>
      </c>
      <c r="K8" s="89">
        <v>100</v>
      </c>
      <c r="L8" s="40">
        <f t="shared" si="3"/>
        <v>63.333333333333329</v>
      </c>
    </row>
    <row r="9" spans="2:12" ht="15.6" x14ac:dyDescent="0.3">
      <c r="B9" s="38">
        <v>7</v>
      </c>
      <c r="C9" s="38" t="s">
        <v>116</v>
      </c>
      <c r="D9" s="39">
        <v>70</v>
      </c>
      <c r="E9" s="39">
        <v>40</v>
      </c>
      <c r="F9" s="39">
        <v>100</v>
      </c>
      <c r="G9" s="39">
        <f t="shared" si="0"/>
        <v>210</v>
      </c>
      <c r="H9" s="39">
        <v>300</v>
      </c>
      <c r="I9" s="87">
        <f t="shared" si="1"/>
        <v>0.7</v>
      </c>
      <c r="J9" s="40">
        <f t="shared" si="2"/>
        <v>70</v>
      </c>
      <c r="K9" s="89">
        <v>100</v>
      </c>
      <c r="L9" s="40">
        <f t="shared" si="3"/>
        <v>70</v>
      </c>
    </row>
    <row r="10" spans="2:12" ht="15.6" x14ac:dyDescent="0.3">
      <c r="B10" s="38">
        <v>8</v>
      </c>
      <c r="C10" s="38" t="s">
        <v>117</v>
      </c>
      <c r="D10" s="39">
        <v>80</v>
      </c>
      <c r="E10" s="39">
        <v>80</v>
      </c>
      <c r="F10" s="39">
        <v>75</v>
      </c>
      <c r="G10" s="39">
        <f t="shared" si="0"/>
        <v>235</v>
      </c>
      <c r="H10" s="39">
        <v>300</v>
      </c>
      <c r="I10" s="87">
        <f t="shared" si="1"/>
        <v>0.78333333333333333</v>
      </c>
      <c r="J10" s="40">
        <f t="shared" si="2"/>
        <v>78.333333333333329</v>
      </c>
      <c r="K10" s="89">
        <v>100</v>
      </c>
      <c r="L10" s="40">
        <f t="shared" si="3"/>
        <v>78.333333333333329</v>
      </c>
    </row>
    <row r="11" spans="2:12" ht="15.6" x14ac:dyDescent="0.3">
      <c r="B11" s="38">
        <v>9</v>
      </c>
      <c r="C11" s="38" t="s">
        <v>119</v>
      </c>
      <c r="D11" s="39">
        <v>90</v>
      </c>
      <c r="E11" s="39">
        <v>90</v>
      </c>
      <c r="F11" s="39">
        <v>35</v>
      </c>
      <c r="G11" s="39">
        <f t="shared" si="0"/>
        <v>215</v>
      </c>
      <c r="H11" s="39">
        <v>300</v>
      </c>
      <c r="I11" s="87">
        <f t="shared" si="1"/>
        <v>0.71666666666666667</v>
      </c>
      <c r="J11" s="40">
        <f t="shared" si="2"/>
        <v>71.666666666666671</v>
      </c>
      <c r="K11" s="89">
        <v>100</v>
      </c>
      <c r="L11" s="40">
        <f t="shared" si="3"/>
        <v>71.666666666666671</v>
      </c>
    </row>
    <row r="12" spans="2:12" ht="15.6" x14ac:dyDescent="0.3">
      <c r="B12" s="38">
        <v>10</v>
      </c>
      <c r="C12" s="38" t="s">
        <v>118</v>
      </c>
      <c r="D12" s="39">
        <v>100</v>
      </c>
      <c r="E12" s="39">
        <v>20</v>
      </c>
      <c r="F12" s="39">
        <v>90</v>
      </c>
      <c r="G12" s="39">
        <f t="shared" si="0"/>
        <v>210</v>
      </c>
      <c r="H12" s="39">
        <v>300</v>
      </c>
      <c r="I12" s="87">
        <f t="shared" si="1"/>
        <v>0.7</v>
      </c>
      <c r="J12" s="40">
        <f t="shared" si="2"/>
        <v>70</v>
      </c>
      <c r="K12" s="89">
        <v>100</v>
      </c>
      <c r="L12" s="40">
        <f t="shared" si="3"/>
        <v>70</v>
      </c>
    </row>
    <row r="13" spans="2:12" ht="15.6" x14ac:dyDescent="0.3">
      <c r="B13" s="38">
        <v>11</v>
      </c>
      <c r="C13" s="38" t="s">
        <v>120</v>
      </c>
      <c r="D13" s="39">
        <v>67</v>
      </c>
      <c r="E13" s="39">
        <v>30</v>
      </c>
      <c r="F13" s="39">
        <v>25</v>
      </c>
      <c r="G13" s="39">
        <f t="shared" si="0"/>
        <v>122</v>
      </c>
      <c r="H13" s="39">
        <v>300</v>
      </c>
      <c r="I13" s="87">
        <f t="shared" si="1"/>
        <v>0.40666666666666668</v>
      </c>
      <c r="J13" s="40">
        <f t="shared" si="2"/>
        <v>40.666666666666664</v>
      </c>
      <c r="K13" s="89">
        <v>100</v>
      </c>
      <c r="L13" s="40">
        <f t="shared" si="3"/>
        <v>40.666666666666664</v>
      </c>
    </row>
    <row r="14" spans="2:12" ht="15.6" x14ac:dyDescent="0.3">
      <c r="B14" s="38">
        <v>12</v>
      </c>
      <c r="C14" s="38" t="s">
        <v>121</v>
      </c>
      <c r="D14" s="39">
        <v>80</v>
      </c>
      <c r="E14" s="39">
        <v>50</v>
      </c>
      <c r="F14" s="39">
        <v>85</v>
      </c>
      <c r="G14" s="39">
        <f t="shared" si="0"/>
        <v>215</v>
      </c>
      <c r="H14" s="39">
        <v>300</v>
      </c>
      <c r="I14" s="87">
        <f t="shared" si="1"/>
        <v>0.71666666666666667</v>
      </c>
      <c r="J14" s="40">
        <f t="shared" si="2"/>
        <v>71.666666666666671</v>
      </c>
      <c r="K14" s="89">
        <v>100</v>
      </c>
      <c r="L14" s="40">
        <f t="shared" si="3"/>
        <v>71.666666666666671</v>
      </c>
    </row>
    <row r="15" spans="2:12" ht="15.6" x14ac:dyDescent="0.3">
      <c r="B15" s="38">
        <v>13</v>
      </c>
      <c r="C15" s="38" t="s">
        <v>122</v>
      </c>
      <c r="D15" s="39">
        <v>90</v>
      </c>
      <c r="E15" s="39">
        <v>100</v>
      </c>
      <c r="F15" s="39">
        <v>50</v>
      </c>
      <c r="G15" s="39">
        <f t="shared" si="0"/>
        <v>240</v>
      </c>
      <c r="H15" s="39">
        <v>300</v>
      </c>
      <c r="I15" s="87">
        <f t="shared" si="1"/>
        <v>0.8</v>
      </c>
      <c r="J15" s="40">
        <f t="shared" si="2"/>
        <v>80</v>
      </c>
      <c r="K15" s="89">
        <v>100</v>
      </c>
      <c r="L15" s="40">
        <f t="shared" si="3"/>
        <v>80</v>
      </c>
    </row>
    <row r="16" spans="2:12" ht="15.6" x14ac:dyDescent="0.3">
      <c r="B16" s="38">
        <v>14</v>
      </c>
      <c r="C16" s="38" t="s">
        <v>123</v>
      </c>
      <c r="D16" s="39">
        <v>40</v>
      </c>
      <c r="E16" s="39">
        <v>70</v>
      </c>
      <c r="F16" s="39">
        <v>60</v>
      </c>
      <c r="G16" s="39">
        <f t="shared" si="0"/>
        <v>170</v>
      </c>
      <c r="H16" s="39">
        <v>300</v>
      </c>
      <c r="I16" s="87">
        <f t="shared" si="1"/>
        <v>0.56666666666666665</v>
      </c>
      <c r="J16" s="40">
        <f t="shared" si="2"/>
        <v>56.666666666666664</v>
      </c>
      <c r="K16" s="89">
        <v>100</v>
      </c>
      <c r="L16" s="40">
        <f t="shared" si="3"/>
        <v>56.666666666666664</v>
      </c>
    </row>
    <row r="17" spans="2:10" ht="15" thickBot="1" x14ac:dyDescent="0.35">
      <c r="B17" s="41"/>
      <c r="C17" s="41"/>
      <c r="D17" s="41"/>
      <c r="E17" s="41"/>
      <c r="F17" s="41"/>
      <c r="G17" s="41"/>
      <c r="H17" s="41"/>
      <c r="I17" s="86"/>
      <c r="J17" s="41"/>
    </row>
    <row r="18" spans="2:10" ht="21.6" thickBot="1" x14ac:dyDescent="0.35">
      <c r="B18" s="41"/>
      <c r="C18" s="41"/>
      <c r="D18" s="42" t="s">
        <v>169</v>
      </c>
      <c r="E18" s="42">
        <v>100</v>
      </c>
      <c r="F18" s="41"/>
      <c r="G18" s="41"/>
      <c r="H18" s="41"/>
      <c r="I18" s="41"/>
      <c r="J18" s="41"/>
    </row>
    <row r="22" spans="2:10" ht="18" thickBot="1" x14ac:dyDescent="0.35">
      <c r="D22" s="194" t="s">
        <v>106</v>
      </c>
      <c r="E22" s="194" t="s">
        <v>107</v>
      </c>
      <c r="F22" s="194" t="s">
        <v>109</v>
      </c>
      <c r="G22" s="194" t="s">
        <v>109</v>
      </c>
    </row>
    <row r="23" spans="2:10" ht="21.6" thickBot="1" x14ac:dyDescent="0.35">
      <c r="D23" s="195">
        <v>122</v>
      </c>
      <c r="E23" s="195">
        <v>300</v>
      </c>
      <c r="F23" s="196">
        <f>D23/E23</f>
        <v>0.40666666666666668</v>
      </c>
      <c r="G23" s="197">
        <f>D23/E23*$J$23</f>
        <v>40.666666666666664</v>
      </c>
      <c r="I23" s="42" t="s">
        <v>169</v>
      </c>
      <c r="J23" s="42">
        <v>100</v>
      </c>
    </row>
    <row r="24" spans="2:10" ht="17.399999999999999" x14ac:dyDescent="0.3">
      <c r="D24" s="195">
        <v>215</v>
      </c>
      <c r="E24" s="195">
        <v>300</v>
      </c>
      <c r="F24" s="196">
        <f t="shared" ref="F24:F26" si="4">D24/E24</f>
        <v>0.71666666666666667</v>
      </c>
      <c r="G24" s="197">
        <f t="shared" ref="G24:G26" si="5">D24/E24*$J$23</f>
        <v>71.666666666666671</v>
      </c>
    </row>
    <row r="25" spans="2:10" ht="17.399999999999999" x14ac:dyDescent="0.3">
      <c r="D25" s="195">
        <v>240</v>
      </c>
      <c r="E25" s="195">
        <v>300</v>
      </c>
      <c r="F25" s="196">
        <f t="shared" si="4"/>
        <v>0.8</v>
      </c>
      <c r="G25" s="197">
        <f t="shared" si="5"/>
        <v>80</v>
      </c>
    </row>
    <row r="26" spans="2:10" ht="17.399999999999999" x14ac:dyDescent="0.3">
      <c r="D26" s="195">
        <v>170</v>
      </c>
      <c r="E26" s="195">
        <v>300</v>
      </c>
      <c r="F26" s="196">
        <f t="shared" si="4"/>
        <v>0.56666666666666665</v>
      </c>
      <c r="G26" s="197">
        <f t="shared" si="5"/>
        <v>56.666666666666664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D0F9-B210-4D13-A12A-FDEC613406F7}">
  <dimension ref="B1:I45"/>
  <sheetViews>
    <sheetView topLeftCell="A25" zoomScale="90" zoomScaleNormal="90" workbookViewId="0">
      <selection activeCell="C46" sqref="C46"/>
    </sheetView>
  </sheetViews>
  <sheetFormatPr defaultColWidth="11.109375" defaultRowHeight="18" x14ac:dyDescent="0.3"/>
  <cols>
    <col min="1" max="1" width="11.109375" style="96"/>
    <col min="2" max="2" width="26.44140625" style="96" customWidth="1"/>
    <col min="3" max="3" width="27.5546875" style="96" customWidth="1"/>
    <col min="4" max="4" width="25.44140625" style="96" customWidth="1"/>
    <col min="5" max="5" width="23.88671875" style="96" customWidth="1"/>
    <col min="6" max="6" width="23.109375" style="96" customWidth="1"/>
    <col min="7" max="7" width="21.109375" style="96" customWidth="1"/>
    <col min="8" max="8" width="29.21875" style="96" bestFit="1" customWidth="1"/>
    <col min="9" max="16384" width="11.109375" style="96"/>
  </cols>
  <sheetData>
    <row r="1" spans="2:9" x14ac:dyDescent="0.3">
      <c r="B1" s="92" t="s">
        <v>132</v>
      </c>
      <c r="C1" s="92" t="s">
        <v>133</v>
      </c>
      <c r="D1" s="92" t="s">
        <v>134</v>
      </c>
      <c r="E1" s="92" t="s">
        <v>135</v>
      </c>
      <c r="F1" s="92" t="s">
        <v>136</v>
      </c>
      <c r="G1" s="92" t="s">
        <v>137</v>
      </c>
      <c r="H1" s="92" t="s">
        <v>138</v>
      </c>
      <c r="I1" s="91"/>
    </row>
    <row r="2" spans="2:9" x14ac:dyDescent="0.3">
      <c r="B2" s="90" t="s">
        <v>139</v>
      </c>
      <c r="C2" s="90" t="str">
        <f>UPPER(B2)</f>
        <v>ANANYA SHROFF</v>
      </c>
      <c r="D2" s="90" t="str">
        <f>LOWER(B2)</f>
        <v>ananya shroff</v>
      </c>
      <c r="E2" s="90" t="str">
        <f>PROPER(C2)</f>
        <v>Ananya Shroff</v>
      </c>
      <c r="F2" s="90" t="str">
        <f>LEFT(B2, 4)</f>
        <v>Anan</v>
      </c>
      <c r="G2" s="90" t="str">
        <f>RIGHT(B2, 3)</f>
        <v>off</v>
      </c>
      <c r="H2" s="90" t="str">
        <f>MID(B2, 3, 4)</f>
        <v>anya</v>
      </c>
      <c r="I2" s="91"/>
    </row>
    <row r="3" spans="2:9" x14ac:dyDescent="0.3">
      <c r="B3" s="90" t="s">
        <v>140</v>
      </c>
      <c r="C3" s="90" t="str">
        <f t="shared" ref="C3:C10" si="0">UPPER(B3)</f>
        <v>AROHI SHARMA</v>
      </c>
      <c r="D3" s="90" t="str">
        <f t="shared" ref="D3:D10" si="1">LOWER(B3)</f>
        <v>arohi sharma</v>
      </c>
      <c r="E3" s="90" t="str">
        <f t="shared" ref="E3:E10" si="2">PROPER(C3)</f>
        <v>Arohi Sharma</v>
      </c>
      <c r="F3" s="90" t="str">
        <f>LEFT(B3, 5)</f>
        <v>Arohi</v>
      </c>
      <c r="G3" s="90" t="str">
        <f>RIGHT(B3, 4)</f>
        <v>arma</v>
      </c>
      <c r="H3" s="90" t="str">
        <f>MID(B3, 2, 6)</f>
        <v>rohi S</v>
      </c>
      <c r="I3" s="91"/>
    </row>
    <row r="4" spans="2:9" ht="52.2" x14ac:dyDescent="0.3">
      <c r="B4" s="90" t="s">
        <v>141</v>
      </c>
      <c r="C4" s="90" t="str">
        <f t="shared" si="0"/>
        <v>MOHANDAS KARAMCHAND GANDHI</v>
      </c>
      <c r="D4" s="90" t="str">
        <f t="shared" si="1"/>
        <v>mohandas karamchand gandhi</v>
      </c>
      <c r="E4" s="90" t="str">
        <f t="shared" si="2"/>
        <v>Mohandas Karamchand Gandhi</v>
      </c>
      <c r="F4" s="90" t="str">
        <f t="shared" ref="F4:F10" si="3">LEFT(B4, 5)</f>
        <v>Mohan</v>
      </c>
      <c r="G4" s="90" t="str">
        <f t="shared" ref="G4:G10" si="4">RIGHT(B4, 4)</f>
        <v>ndhi</v>
      </c>
      <c r="H4" s="90" t="str">
        <f t="shared" ref="H4:H10" si="5">MID(B4, 2, 6)</f>
        <v>ohanda</v>
      </c>
      <c r="I4" s="91"/>
    </row>
    <row r="5" spans="2:9" x14ac:dyDescent="0.3">
      <c r="B5" s="90" t="s">
        <v>142</v>
      </c>
      <c r="C5" s="90" t="str">
        <f t="shared" si="0"/>
        <v>MILIND KUMAR KALRA</v>
      </c>
      <c r="D5" s="90" t="str">
        <f t="shared" si="1"/>
        <v>milind kumar kalra</v>
      </c>
      <c r="E5" s="90" t="str">
        <f t="shared" si="2"/>
        <v>Milind Kumar Kalra</v>
      </c>
      <c r="F5" s="90" t="str">
        <f t="shared" si="3"/>
        <v>Milin</v>
      </c>
      <c r="G5" s="90" t="str">
        <f t="shared" si="4"/>
        <v>alra</v>
      </c>
      <c r="H5" s="90" t="str">
        <f t="shared" si="5"/>
        <v xml:space="preserve">ilind </v>
      </c>
      <c r="I5" s="91"/>
    </row>
    <row r="6" spans="2:9" x14ac:dyDescent="0.3">
      <c r="B6" s="90" t="s">
        <v>143</v>
      </c>
      <c r="C6" s="90" t="str">
        <f t="shared" si="0"/>
        <v>ANSHU POONAWALA</v>
      </c>
      <c r="D6" s="90" t="str">
        <f t="shared" si="1"/>
        <v>anshu poonawala</v>
      </c>
      <c r="E6" s="90" t="str">
        <f t="shared" si="2"/>
        <v>Anshu Poonawala</v>
      </c>
      <c r="F6" s="90" t="str">
        <f t="shared" si="3"/>
        <v>Anshu</v>
      </c>
      <c r="G6" s="90" t="str">
        <f t="shared" si="4"/>
        <v>wala</v>
      </c>
      <c r="H6" s="90" t="str">
        <f t="shared" si="5"/>
        <v>nshu P</v>
      </c>
      <c r="I6" s="91"/>
    </row>
    <row r="7" spans="2:9" x14ac:dyDescent="0.3">
      <c r="B7" s="90" t="s">
        <v>144</v>
      </c>
      <c r="C7" s="90" t="str">
        <f t="shared" si="0"/>
        <v>RAHUL SINGH SHARMA</v>
      </c>
      <c r="D7" s="90" t="str">
        <f t="shared" si="1"/>
        <v>rahul singh sharma</v>
      </c>
      <c r="E7" s="90" t="str">
        <f t="shared" si="2"/>
        <v>Rahul Singh Sharma</v>
      </c>
      <c r="F7" s="90" t="str">
        <f t="shared" si="3"/>
        <v>Rahul</v>
      </c>
      <c r="G7" s="90" t="str">
        <f t="shared" si="4"/>
        <v>arma</v>
      </c>
      <c r="H7" s="90" t="str">
        <f t="shared" si="5"/>
        <v>ahul S</v>
      </c>
      <c r="I7" s="91"/>
    </row>
    <row r="8" spans="2:9" x14ac:dyDescent="0.3">
      <c r="B8" s="90" t="s">
        <v>145</v>
      </c>
      <c r="C8" s="90" t="str">
        <f t="shared" si="0"/>
        <v>NEIL ARMSTRONG</v>
      </c>
      <c r="D8" s="90" t="str">
        <f t="shared" si="1"/>
        <v>neil armstrong</v>
      </c>
      <c r="E8" s="90" t="str">
        <f t="shared" si="2"/>
        <v>Neil Armstrong</v>
      </c>
      <c r="F8" s="90" t="str">
        <f t="shared" si="3"/>
        <v xml:space="preserve">Neil </v>
      </c>
      <c r="G8" s="90" t="str">
        <f t="shared" si="4"/>
        <v>rong</v>
      </c>
      <c r="H8" s="90" t="str">
        <f t="shared" si="5"/>
        <v>eil Ar</v>
      </c>
      <c r="I8" s="91"/>
    </row>
    <row r="9" spans="2:9" x14ac:dyDescent="0.3">
      <c r="B9" s="90" t="s">
        <v>146</v>
      </c>
      <c r="C9" s="90" t="str">
        <f t="shared" si="0"/>
        <v>AVNISH AGRAWAL</v>
      </c>
      <c r="D9" s="90" t="str">
        <f t="shared" si="1"/>
        <v>avnish agrawal</v>
      </c>
      <c r="E9" s="90" t="str">
        <f t="shared" si="2"/>
        <v>Avnish Agrawal</v>
      </c>
      <c r="F9" s="90" t="str">
        <f t="shared" si="3"/>
        <v>Avnis</v>
      </c>
      <c r="G9" s="90" t="str">
        <f t="shared" si="4"/>
        <v>awal</v>
      </c>
      <c r="H9" s="90" t="str">
        <f t="shared" si="5"/>
        <v xml:space="preserve">vnish </v>
      </c>
      <c r="I9" s="91"/>
    </row>
    <row r="10" spans="2:9" x14ac:dyDescent="0.3">
      <c r="B10" s="90" t="s">
        <v>147</v>
      </c>
      <c r="C10" s="90" t="str">
        <f t="shared" si="0"/>
        <v>SHASHANK KHAN</v>
      </c>
      <c r="D10" s="90" t="str">
        <f t="shared" si="1"/>
        <v>shashank khan</v>
      </c>
      <c r="E10" s="90" t="str">
        <f t="shared" si="2"/>
        <v>Shashank Khan</v>
      </c>
      <c r="F10" s="90" t="str">
        <f t="shared" si="3"/>
        <v>Shash</v>
      </c>
      <c r="G10" s="90" t="str">
        <f t="shared" si="4"/>
        <v>Khan</v>
      </c>
      <c r="H10" s="90" t="str">
        <f t="shared" si="5"/>
        <v>hashan</v>
      </c>
      <c r="I10" s="91"/>
    </row>
    <row r="11" spans="2:9" x14ac:dyDescent="0.3">
      <c r="B11" s="91"/>
      <c r="C11" s="91"/>
      <c r="D11" s="91"/>
      <c r="E11" s="91"/>
      <c r="F11" s="91"/>
      <c r="G11" s="91"/>
      <c r="H11" s="91"/>
      <c r="I11" s="91"/>
    </row>
    <row r="12" spans="2:9" x14ac:dyDescent="0.3">
      <c r="B12" s="91"/>
      <c r="C12" s="91"/>
      <c r="D12" s="91"/>
      <c r="E12" s="91"/>
      <c r="F12" s="91"/>
      <c r="G12" s="91"/>
      <c r="H12" s="91"/>
      <c r="I12" s="91"/>
    </row>
    <row r="13" spans="2:9" ht="18.600000000000001" thickBot="1" x14ac:dyDescent="0.35">
      <c r="B13" s="91"/>
      <c r="C13" s="91"/>
      <c r="D13" s="91"/>
      <c r="E13" s="91"/>
      <c r="F13" s="93"/>
      <c r="G13" s="91"/>
      <c r="H13" s="91"/>
      <c r="I13" s="91"/>
    </row>
    <row r="14" spans="2:9" ht="18.600000000000001" thickTop="1" x14ac:dyDescent="0.3">
      <c r="B14" s="92" t="s">
        <v>132</v>
      </c>
      <c r="C14" s="82" t="s">
        <v>148</v>
      </c>
      <c r="D14" s="82" t="s">
        <v>149</v>
      </c>
      <c r="E14" s="82" t="s">
        <v>148</v>
      </c>
      <c r="F14" s="82" t="s">
        <v>150</v>
      </c>
      <c r="G14" s="84" t="s">
        <v>151</v>
      </c>
      <c r="H14" s="91"/>
      <c r="I14" s="91"/>
    </row>
    <row r="15" spans="2:9" x14ac:dyDescent="0.3">
      <c r="B15" s="90" t="s">
        <v>152</v>
      </c>
      <c r="C15" s="83">
        <f>LEN(B15)</f>
        <v>17</v>
      </c>
      <c r="D15" s="83" t="str">
        <f>TRIM(B15)</f>
        <v>Ananya Pandey</v>
      </c>
      <c r="E15" s="83">
        <f>LEN(D15)</f>
        <v>13</v>
      </c>
      <c r="F15" s="83">
        <f>FIND("an", D15, 1)</f>
        <v>3</v>
      </c>
      <c r="G15" s="83">
        <f>SEARCH("an", D15)</f>
        <v>1</v>
      </c>
      <c r="H15" s="91"/>
      <c r="I15" s="91"/>
    </row>
    <row r="16" spans="2:9" x14ac:dyDescent="0.3">
      <c r="B16" s="90" t="s">
        <v>153</v>
      </c>
      <c r="C16" s="83">
        <f t="shared" ref="C16:C23" si="6">LEN(B16)</f>
        <v>19</v>
      </c>
      <c r="D16" s="83" t="str">
        <f t="shared" ref="D16:D23" si="7">TRIM(B16)</f>
        <v>Arohi Sharma</v>
      </c>
      <c r="E16" s="83">
        <f t="shared" ref="E16:E23" si="8">LEN(D16)</f>
        <v>12</v>
      </c>
      <c r="F16" s="83">
        <f>FIND("ar", D16, 1)</f>
        <v>9</v>
      </c>
      <c r="G16" s="83">
        <f>SEARCH("ar", D16)</f>
        <v>1</v>
      </c>
      <c r="H16" s="91"/>
      <c r="I16" s="91"/>
    </row>
    <row r="17" spans="2:9" ht="34.799999999999997" x14ac:dyDescent="0.3">
      <c r="B17" s="90" t="s">
        <v>154</v>
      </c>
      <c r="C17" s="83">
        <f t="shared" si="6"/>
        <v>33</v>
      </c>
      <c r="D17" s="83" t="str">
        <f t="shared" si="7"/>
        <v>Mohandas Karamchand G andhi</v>
      </c>
      <c r="E17" s="83">
        <f t="shared" si="8"/>
        <v>27</v>
      </c>
      <c r="F17" s="83" t="e">
        <f>FIND("An", D17, 3)</f>
        <v>#VALUE!</v>
      </c>
      <c r="G17" s="83">
        <f>SEARCH("An", D17)</f>
        <v>4</v>
      </c>
      <c r="H17" s="91"/>
      <c r="I17" s="91"/>
    </row>
    <row r="18" spans="2:9" x14ac:dyDescent="0.3">
      <c r="B18" s="90" t="s">
        <v>155</v>
      </c>
      <c r="C18" s="83">
        <f t="shared" si="6"/>
        <v>27</v>
      </c>
      <c r="D18" s="83" t="str">
        <f t="shared" si="7"/>
        <v>Milind Kalra</v>
      </c>
      <c r="E18" s="83">
        <f t="shared" si="8"/>
        <v>12</v>
      </c>
      <c r="F18" s="85"/>
      <c r="G18" s="85"/>
      <c r="H18" s="381" t="s">
        <v>215</v>
      </c>
      <c r="I18" s="91"/>
    </row>
    <row r="19" spans="2:9" x14ac:dyDescent="0.3">
      <c r="B19" s="90" t="s">
        <v>156</v>
      </c>
      <c r="C19" s="83">
        <f t="shared" si="6"/>
        <v>30</v>
      </c>
      <c r="D19" s="83" t="str">
        <f t="shared" si="7"/>
        <v>Anshu Poonawala</v>
      </c>
      <c r="E19" s="83">
        <f t="shared" si="8"/>
        <v>15</v>
      </c>
      <c r="F19" s="85"/>
      <c r="G19" s="85"/>
      <c r="H19" s="381"/>
      <c r="I19" s="91"/>
    </row>
    <row r="20" spans="2:9" x14ac:dyDescent="0.3">
      <c r="B20" s="90" t="s">
        <v>157</v>
      </c>
      <c r="C20" s="83">
        <f t="shared" si="6"/>
        <v>24</v>
      </c>
      <c r="D20" s="83" t="str">
        <f t="shared" si="7"/>
        <v>Rahul Singh Sharma</v>
      </c>
      <c r="E20" s="83">
        <f t="shared" si="8"/>
        <v>18</v>
      </c>
      <c r="F20" s="85"/>
      <c r="G20" s="85"/>
      <c r="H20" s="381"/>
      <c r="I20" s="91"/>
    </row>
    <row r="21" spans="2:9" x14ac:dyDescent="0.3">
      <c r="B21" s="90" t="s">
        <v>158</v>
      </c>
      <c r="C21" s="83">
        <f t="shared" si="6"/>
        <v>18</v>
      </c>
      <c r="D21" s="83" t="str">
        <f t="shared" si="7"/>
        <v>Neil Armstrong</v>
      </c>
      <c r="E21" s="83">
        <f t="shared" si="8"/>
        <v>14</v>
      </c>
      <c r="F21" s="85"/>
      <c r="G21" s="85"/>
      <c r="H21" s="381"/>
      <c r="I21" s="91"/>
    </row>
    <row r="22" spans="2:9" x14ac:dyDescent="0.3">
      <c r="B22" s="90" t="s">
        <v>146</v>
      </c>
      <c r="C22" s="83">
        <f t="shared" si="6"/>
        <v>14</v>
      </c>
      <c r="D22" s="83" t="str">
        <f t="shared" si="7"/>
        <v>Avnish Agrawal</v>
      </c>
      <c r="E22" s="83">
        <f t="shared" si="8"/>
        <v>14</v>
      </c>
      <c r="F22" s="85"/>
      <c r="G22" s="85"/>
      <c r="H22" s="381"/>
      <c r="I22" s="91"/>
    </row>
    <row r="23" spans="2:9" x14ac:dyDescent="0.3">
      <c r="B23" s="90" t="s">
        <v>159</v>
      </c>
      <c r="C23" s="83">
        <f t="shared" si="6"/>
        <v>18</v>
      </c>
      <c r="D23" s="83" t="str">
        <f t="shared" si="7"/>
        <v>Shashank Khan</v>
      </c>
      <c r="E23" s="83">
        <f t="shared" si="8"/>
        <v>13</v>
      </c>
      <c r="F23" s="85"/>
      <c r="G23" s="85"/>
      <c r="H23" s="381"/>
      <c r="I23" s="91"/>
    </row>
    <row r="24" spans="2:9" x14ac:dyDescent="0.3">
      <c r="B24" s="91"/>
      <c r="C24" s="91"/>
      <c r="D24" s="91"/>
      <c r="E24" s="91"/>
      <c r="F24" s="91"/>
      <c r="G24" s="91"/>
      <c r="H24" s="91"/>
      <c r="I24" s="91"/>
    </row>
    <row r="25" spans="2:9" x14ac:dyDescent="0.3">
      <c r="B25" s="90"/>
      <c r="C25" s="91"/>
      <c r="D25" s="91"/>
      <c r="E25" s="91"/>
      <c r="F25" s="91"/>
      <c r="G25" s="91"/>
      <c r="H25" s="91"/>
      <c r="I25" s="91"/>
    </row>
    <row r="26" spans="2:9" x14ac:dyDescent="0.3">
      <c r="B26" s="91"/>
      <c r="C26" s="92" t="s">
        <v>132</v>
      </c>
      <c r="D26" s="92" t="s">
        <v>160</v>
      </c>
      <c r="E26" s="92" t="s">
        <v>161</v>
      </c>
      <c r="F26" s="91"/>
      <c r="G26" s="91"/>
      <c r="H26" s="91"/>
      <c r="I26" s="91"/>
    </row>
    <row r="27" spans="2:9" x14ac:dyDescent="0.3">
      <c r="B27" s="91"/>
      <c r="C27" s="90" t="s">
        <v>162</v>
      </c>
      <c r="D27" s="90" t="str">
        <f>SUBSTITUTE(C27, "an", "tu")</f>
        <v>Antuya Ptudey</v>
      </c>
      <c r="E27" s="90" t="str">
        <f>REPLACE(C27, 1, 3, "tul")</f>
        <v>tulnya Pandey</v>
      </c>
      <c r="F27" s="91"/>
      <c r="G27" s="91"/>
      <c r="H27" s="91"/>
      <c r="I27" s="91"/>
    </row>
    <row r="28" spans="2:9" x14ac:dyDescent="0.3">
      <c r="B28" s="91"/>
      <c r="C28" s="90" t="s">
        <v>140</v>
      </c>
      <c r="D28" s="90" t="str">
        <f>SUBSTITUTE(C28, "Ar", "LT")</f>
        <v>LTohi Sharma</v>
      </c>
      <c r="E28" s="90" t="str">
        <f>REPLACE(C28, 6, 4, "LTUS")</f>
        <v>ArohiLTUSrma</v>
      </c>
      <c r="F28" s="91"/>
      <c r="G28" s="91"/>
      <c r="H28" s="91"/>
      <c r="I28" s="91"/>
    </row>
    <row r="29" spans="2:9" ht="34.799999999999997" x14ac:dyDescent="0.3">
      <c r="B29" s="91"/>
      <c r="C29" s="90" t="s">
        <v>141</v>
      </c>
      <c r="D29" s="90" t="str">
        <f>SUBSTITUTE(C29, "nd", "tul")</f>
        <v>Mohatulas Karamchatul Gatulhi</v>
      </c>
      <c r="E29" s="90" t="str">
        <f>REPLACE(C29, 17, 3, "ul")</f>
        <v>Mohandas Karamchul Gandhi</v>
      </c>
      <c r="F29" s="91"/>
      <c r="G29" s="91"/>
      <c r="H29" s="91"/>
      <c r="I29" s="91"/>
    </row>
    <row r="30" spans="2:9" ht="18" customHeight="1" x14ac:dyDescent="0.3">
      <c r="B30" s="91"/>
      <c r="C30" s="90" t="s">
        <v>142</v>
      </c>
      <c r="D30" s="94"/>
      <c r="E30" s="206"/>
      <c r="F30" s="382" t="s">
        <v>215</v>
      </c>
      <c r="G30" s="91"/>
      <c r="H30" s="91"/>
      <c r="I30" s="91"/>
    </row>
    <row r="31" spans="2:9" ht="18" customHeight="1" x14ac:dyDescent="0.3">
      <c r="B31" s="91"/>
      <c r="C31" s="90" t="s">
        <v>143</v>
      </c>
      <c r="D31" s="94"/>
      <c r="E31" s="206"/>
      <c r="F31" s="382"/>
      <c r="G31" s="91"/>
      <c r="H31" s="91"/>
      <c r="I31" s="91"/>
    </row>
    <row r="32" spans="2:9" ht="18" customHeight="1" x14ac:dyDescent="0.3">
      <c r="B32" s="91"/>
      <c r="C32" s="90" t="s">
        <v>144</v>
      </c>
      <c r="D32" s="94"/>
      <c r="E32" s="206"/>
      <c r="F32" s="382"/>
      <c r="G32" s="91"/>
      <c r="H32" s="91"/>
      <c r="I32" s="91"/>
    </row>
    <row r="33" spans="2:9" ht="18" customHeight="1" x14ac:dyDescent="0.3">
      <c r="B33" s="91"/>
      <c r="C33" s="90" t="s">
        <v>145</v>
      </c>
      <c r="D33" s="94"/>
      <c r="E33" s="206"/>
      <c r="F33" s="382"/>
      <c r="G33" s="91"/>
      <c r="H33" s="91"/>
      <c r="I33" s="91"/>
    </row>
    <row r="34" spans="2:9" ht="18" customHeight="1" x14ac:dyDescent="0.3">
      <c r="B34" s="91"/>
      <c r="C34" s="90" t="s">
        <v>146</v>
      </c>
      <c r="D34" s="94"/>
      <c r="E34" s="206"/>
      <c r="F34" s="382"/>
      <c r="G34" s="91"/>
      <c r="H34" s="91"/>
      <c r="I34" s="91"/>
    </row>
    <row r="35" spans="2:9" ht="18" customHeight="1" x14ac:dyDescent="0.3">
      <c r="B35" s="91"/>
      <c r="C35" s="90" t="s">
        <v>147</v>
      </c>
      <c r="D35" s="94"/>
      <c r="E35" s="206"/>
      <c r="F35" s="382"/>
      <c r="G35" s="91"/>
      <c r="H35" s="91"/>
      <c r="I35" s="91"/>
    </row>
    <row r="36" spans="2:9" ht="34.799999999999997" x14ac:dyDescent="0.3">
      <c r="B36" s="91"/>
      <c r="C36" s="95" t="s">
        <v>163</v>
      </c>
      <c r="D36" s="94"/>
      <c r="E36" s="206"/>
      <c r="F36" s="382"/>
      <c r="G36" s="91"/>
      <c r="H36" s="91"/>
      <c r="I36" s="91"/>
    </row>
    <row r="37" spans="2:9" x14ac:dyDescent="0.3">
      <c r="B37" s="91"/>
      <c r="C37" s="91"/>
      <c r="D37" s="198"/>
      <c r="E37" s="91"/>
      <c r="F37" s="91"/>
      <c r="G37" s="91"/>
      <c r="H37" s="91"/>
      <c r="I37" s="91"/>
    </row>
    <row r="38" spans="2:9" ht="39.6" customHeight="1" x14ac:dyDescent="0.3">
      <c r="B38" s="91"/>
      <c r="C38" s="91"/>
      <c r="D38" s="91"/>
      <c r="E38" s="205" t="s">
        <v>33</v>
      </c>
      <c r="F38" s="205" t="s">
        <v>35</v>
      </c>
      <c r="G38" s="201" t="s">
        <v>268</v>
      </c>
      <c r="H38" s="201" t="s">
        <v>269</v>
      </c>
      <c r="I38" s="91"/>
    </row>
    <row r="39" spans="2:9" ht="19.2" x14ac:dyDescent="0.3">
      <c r="B39" s="91"/>
      <c r="C39" s="91"/>
      <c r="D39" s="91"/>
      <c r="E39" s="202" t="s">
        <v>164</v>
      </c>
      <c r="F39" s="202" t="s">
        <v>165</v>
      </c>
      <c r="G39" s="202" t="str">
        <f>CONCATENATE(E39, " ", F39)</f>
        <v>abc xyz</v>
      </c>
      <c r="H39" s="202" t="str">
        <f>_xlfn.CONCAT(E39, " &amp; ", F39)</f>
        <v>abc &amp; xyz</v>
      </c>
      <c r="I39" s="91"/>
    </row>
    <row r="40" spans="2:9" ht="19.2" x14ac:dyDescent="0.3">
      <c r="B40" s="91"/>
      <c r="C40" s="91"/>
      <c r="D40" s="91"/>
      <c r="E40" s="202" t="s">
        <v>166</v>
      </c>
      <c r="F40" s="202" t="s">
        <v>167</v>
      </c>
      <c r="G40" s="202" t="str">
        <f t="shared" ref="G40:G42" si="9">CONCATENATE(E40, " ", F40)</f>
        <v>def uvw</v>
      </c>
      <c r="H40" s="202" t="str">
        <f>_xlfn.CONCAT(E40, " * ", F40)</f>
        <v>def * uvw</v>
      </c>
      <c r="I40" s="91"/>
    </row>
    <row r="41" spans="2:9" ht="19.2" x14ac:dyDescent="0.3">
      <c r="B41" s="91"/>
      <c r="C41" s="91"/>
      <c r="D41" s="91"/>
      <c r="E41" s="203">
        <v>123</v>
      </c>
      <c r="F41" s="203">
        <v>456</v>
      </c>
      <c r="G41" s="202" t="str">
        <f t="shared" si="9"/>
        <v>123 456</v>
      </c>
      <c r="H41" s="202" t="str">
        <f t="shared" ref="H41:H42" si="10">_xlfn.CONCAT(E41, " &amp; ", F41)</f>
        <v>123 &amp; 456</v>
      </c>
      <c r="I41" s="91"/>
    </row>
    <row r="42" spans="2:9" ht="19.2" x14ac:dyDescent="0.3">
      <c r="B42" s="91"/>
      <c r="C42" s="91"/>
      <c r="D42" s="91"/>
      <c r="E42" s="202">
        <v>567</v>
      </c>
      <c r="F42" s="202">
        <v>789</v>
      </c>
      <c r="G42" s="202" t="str">
        <f t="shared" si="9"/>
        <v>567 789</v>
      </c>
      <c r="H42" s="202" t="str">
        <f t="shared" si="10"/>
        <v>567 &amp; 789</v>
      </c>
      <c r="I42" s="91"/>
    </row>
    <row r="43" spans="2:9" ht="19.2" x14ac:dyDescent="0.3">
      <c r="B43" s="91"/>
      <c r="C43" s="91"/>
      <c r="D43" s="91"/>
      <c r="E43" s="202">
        <v>567</v>
      </c>
      <c r="F43" s="202" t="s">
        <v>165</v>
      </c>
      <c r="G43" s="204" t="str">
        <f>CONCATENATE(E43, " ", F43)</f>
        <v>567 xyz</v>
      </c>
      <c r="H43" s="204" t="str">
        <f>_xlfn.CONCAT(E43, " # ", F43)</f>
        <v>567 # xyz</v>
      </c>
      <c r="I43" s="91"/>
    </row>
    <row r="44" spans="2:9" x14ac:dyDescent="0.3">
      <c r="B44" s="91"/>
      <c r="C44" s="91"/>
      <c r="D44" s="91"/>
      <c r="E44" s="91"/>
      <c r="F44" s="91"/>
      <c r="G44" s="200"/>
      <c r="H44" s="200"/>
      <c r="I44" s="91"/>
    </row>
    <row r="45" spans="2:9" x14ac:dyDescent="0.3">
      <c r="G45" s="199"/>
      <c r="H45" s="199"/>
    </row>
  </sheetData>
  <mergeCells count="2">
    <mergeCell ref="H18:H23"/>
    <mergeCell ref="F30:F36"/>
  </mergeCells>
  <pageMargins left="0.7" right="0.7" top="0.75" bottom="0.75" header="0.3" footer="0.3"/>
  <ignoredErrors>
    <ignoredError sqref="D15:D23 H40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A643-E41D-4F96-91B2-C8E3FC04E98D}">
  <dimension ref="B1:M77"/>
  <sheetViews>
    <sheetView topLeftCell="A67" zoomScale="90" zoomScaleNormal="90" workbookViewId="0">
      <selection activeCell="E61" sqref="E61"/>
    </sheetView>
  </sheetViews>
  <sheetFormatPr defaultColWidth="17.33203125" defaultRowHeight="15.6" x14ac:dyDescent="0.3"/>
  <cols>
    <col min="1" max="1" width="13.77734375" style="145" customWidth="1"/>
    <col min="2" max="2" width="20.21875" style="145" customWidth="1"/>
    <col min="3" max="3" width="30.33203125" style="145" customWidth="1"/>
    <col min="4" max="8" width="17.33203125" style="145"/>
    <col min="9" max="9" width="20" style="145" customWidth="1"/>
    <col min="10" max="10" width="19.6640625" style="145" customWidth="1"/>
    <col min="11" max="16384" width="17.33203125" style="145"/>
  </cols>
  <sheetData>
    <row r="1" spans="2:13" x14ac:dyDescent="0.3">
      <c r="C1" s="100"/>
      <c r="D1" s="100"/>
      <c r="E1" s="100"/>
      <c r="F1" s="100"/>
      <c r="G1" s="100"/>
      <c r="H1" s="100"/>
      <c r="I1" s="100"/>
      <c r="J1" s="100"/>
    </row>
    <row r="2" spans="2:13" ht="16.2" x14ac:dyDescent="0.3">
      <c r="B2" s="100"/>
      <c r="C2" s="100"/>
      <c r="D2" s="100"/>
      <c r="E2" s="99"/>
      <c r="F2" s="99"/>
      <c r="G2" s="99"/>
      <c r="H2" s="99"/>
      <c r="I2" s="100"/>
      <c r="J2" s="100"/>
      <c r="K2" s="100"/>
      <c r="L2" s="100"/>
      <c r="M2" s="100"/>
    </row>
    <row r="3" spans="2:13" ht="18" x14ac:dyDescent="0.3">
      <c r="B3" s="108" t="s">
        <v>170</v>
      </c>
      <c r="C3" s="191">
        <v>2025</v>
      </c>
      <c r="D3" s="191" t="s">
        <v>173</v>
      </c>
      <c r="E3" s="111"/>
      <c r="F3" s="112"/>
      <c r="G3" s="113"/>
      <c r="H3" s="100"/>
      <c r="I3" s="100"/>
      <c r="J3" s="100"/>
      <c r="K3" s="100"/>
      <c r="L3" s="100"/>
      <c r="M3" s="100"/>
    </row>
    <row r="4" spans="2:13" ht="18" x14ac:dyDescent="0.3">
      <c r="B4" s="109" t="s">
        <v>171</v>
      </c>
      <c r="C4" s="191">
        <v>8</v>
      </c>
      <c r="D4" s="191" t="s">
        <v>46</v>
      </c>
      <c r="E4" s="114" t="s">
        <v>175</v>
      </c>
      <c r="F4" s="104" t="s">
        <v>176</v>
      </c>
      <c r="G4" s="115" t="s">
        <v>171</v>
      </c>
      <c r="H4" s="115" t="s">
        <v>172</v>
      </c>
      <c r="I4" s="115" t="s">
        <v>177</v>
      </c>
      <c r="J4" s="100"/>
      <c r="K4" s="100"/>
      <c r="L4" s="100"/>
      <c r="M4" s="100"/>
    </row>
    <row r="5" spans="2:13" ht="18" x14ac:dyDescent="0.3">
      <c r="B5" s="110" t="s">
        <v>172</v>
      </c>
      <c r="C5" s="191">
        <v>13</v>
      </c>
      <c r="D5" s="191" t="s">
        <v>37</v>
      </c>
      <c r="E5" s="116">
        <v>46228</v>
      </c>
      <c r="F5" s="117">
        <v>0.78402777777777777</v>
      </c>
      <c r="G5" s="118">
        <f ca="1">TODAY()</f>
        <v>46241</v>
      </c>
      <c r="H5" s="119">
        <f ca="1">NOW()</f>
        <v>46241.457564930555</v>
      </c>
      <c r="I5" s="118">
        <f>DATE(C3, C4, C5)</f>
        <v>45882</v>
      </c>
      <c r="J5" s="100"/>
      <c r="K5" s="100"/>
      <c r="L5" s="100"/>
      <c r="M5" s="100"/>
    </row>
    <row r="6" spans="2:13" x14ac:dyDescent="0.3">
      <c r="B6" s="110" t="s">
        <v>174</v>
      </c>
      <c r="C6" s="100"/>
      <c r="D6" s="100"/>
      <c r="E6" s="100"/>
      <c r="F6" s="100"/>
      <c r="G6" s="100"/>
      <c r="H6" s="100"/>
      <c r="I6" s="141"/>
      <c r="J6" s="100"/>
      <c r="K6" s="100"/>
      <c r="L6" s="100"/>
      <c r="M6" s="100"/>
    </row>
    <row r="7" spans="2:13" ht="16.2" x14ac:dyDescent="0.3">
      <c r="B7" s="110" t="s">
        <v>178</v>
      </c>
      <c r="C7" s="100"/>
      <c r="D7" s="100"/>
      <c r="E7" s="100"/>
      <c r="F7" s="100"/>
      <c r="G7" s="100"/>
      <c r="H7" s="97" t="s">
        <v>181</v>
      </c>
      <c r="I7" s="97">
        <f>DAY(I5)</f>
        <v>13</v>
      </c>
      <c r="J7" s="100"/>
      <c r="K7" s="100"/>
      <c r="L7" s="100"/>
      <c r="M7" s="100"/>
    </row>
    <row r="8" spans="2:13" ht="16.2" x14ac:dyDescent="0.3">
      <c r="B8" s="109" t="s">
        <v>179</v>
      </c>
      <c r="C8" s="100"/>
      <c r="D8" s="100"/>
      <c r="E8" s="100"/>
      <c r="F8" s="100"/>
      <c r="G8" s="100"/>
      <c r="H8" s="97" t="s">
        <v>183</v>
      </c>
      <c r="I8" s="97">
        <f>MONTH(I5)</f>
        <v>8</v>
      </c>
      <c r="J8" s="100"/>
      <c r="K8" s="100"/>
      <c r="L8" s="100"/>
      <c r="M8" s="100"/>
    </row>
    <row r="9" spans="2:13" ht="31.2" x14ac:dyDescent="0.3">
      <c r="B9" s="109" t="s">
        <v>180</v>
      </c>
      <c r="C9" s="100"/>
      <c r="D9" s="100"/>
      <c r="E9" s="100"/>
      <c r="F9" s="100"/>
      <c r="G9" s="100"/>
      <c r="H9" s="97" t="s">
        <v>185</v>
      </c>
      <c r="I9" s="97">
        <f>YEAR(I5)</f>
        <v>2025</v>
      </c>
      <c r="J9" s="100"/>
      <c r="K9" s="100"/>
      <c r="L9" s="100"/>
      <c r="M9" s="100"/>
    </row>
    <row r="10" spans="2:13" x14ac:dyDescent="0.3">
      <c r="B10" s="109" t="s">
        <v>182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spans="2:13" ht="32.4" x14ac:dyDescent="0.3">
      <c r="B11" s="109" t="s">
        <v>184</v>
      </c>
      <c r="C11" s="100"/>
      <c r="D11" s="100"/>
      <c r="E11" s="104" t="s">
        <v>188</v>
      </c>
      <c r="F11" s="104" t="s">
        <v>189</v>
      </c>
      <c r="G11" s="104" t="s">
        <v>190</v>
      </c>
      <c r="H11" s="105" t="s">
        <v>191</v>
      </c>
      <c r="I11" s="138" t="s">
        <v>266</v>
      </c>
      <c r="J11" s="100"/>
      <c r="K11" s="100"/>
      <c r="L11" s="100"/>
      <c r="M11" s="100"/>
    </row>
    <row r="12" spans="2:13" x14ac:dyDescent="0.3">
      <c r="B12" s="109" t="s">
        <v>186</v>
      </c>
      <c r="C12" s="100"/>
      <c r="D12" s="100"/>
      <c r="E12" s="120">
        <v>44927</v>
      </c>
      <c r="F12" s="120">
        <v>45240</v>
      </c>
      <c r="G12" s="121">
        <v>2</v>
      </c>
      <c r="H12" s="134">
        <v>2</v>
      </c>
      <c r="I12" s="132">
        <f>E12+H12</f>
        <v>44929</v>
      </c>
      <c r="J12" s="192">
        <f>E12+G12</f>
        <v>44929</v>
      </c>
      <c r="K12" s="100"/>
      <c r="L12" s="100"/>
      <c r="M12" s="100"/>
    </row>
    <row r="13" spans="2:13" ht="16.2" x14ac:dyDescent="0.3">
      <c r="B13" s="109" t="s">
        <v>187</v>
      </c>
      <c r="C13" s="98"/>
      <c r="D13" s="100"/>
      <c r="E13" s="120">
        <v>45507</v>
      </c>
      <c r="F13" s="120">
        <v>44908</v>
      </c>
      <c r="G13" s="101">
        <v>5</v>
      </c>
      <c r="H13" s="134">
        <v>5</v>
      </c>
      <c r="I13" s="132">
        <f>F13+H13</f>
        <v>44913</v>
      </c>
      <c r="J13" s="100"/>
      <c r="K13" s="100"/>
      <c r="L13" s="100"/>
      <c r="M13" s="100"/>
    </row>
    <row r="14" spans="2:13" ht="16.2" x14ac:dyDescent="0.3">
      <c r="B14" s="109" t="s">
        <v>192</v>
      </c>
      <c r="C14" s="111"/>
      <c r="D14" s="100"/>
      <c r="E14" s="120">
        <v>42257</v>
      </c>
      <c r="F14" s="120">
        <v>42298</v>
      </c>
      <c r="G14" s="104">
        <v>-5</v>
      </c>
      <c r="H14" s="105">
        <v>-5</v>
      </c>
      <c r="I14" s="132">
        <f>F14+H14</f>
        <v>42293</v>
      </c>
      <c r="J14" s="100"/>
      <c r="K14" s="100"/>
      <c r="L14" s="100"/>
      <c r="M14" s="100"/>
    </row>
    <row r="15" spans="2:13" ht="16.2" x14ac:dyDescent="0.3">
      <c r="B15" s="109" t="s">
        <v>193</v>
      </c>
      <c r="C15" s="99"/>
      <c r="D15" s="100"/>
      <c r="E15" s="120">
        <v>45782</v>
      </c>
      <c r="F15" s="120">
        <v>46757</v>
      </c>
      <c r="G15" s="104">
        <v>-12</v>
      </c>
      <c r="H15" s="105">
        <v>-12</v>
      </c>
      <c r="I15" s="132">
        <f>E15+H15</f>
        <v>45770</v>
      </c>
      <c r="J15" s="100"/>
      <c r="K15" s="100"/>
      <c r="L15" s="100"/>
      <c r="M15" s="100"/>
    </row>
    <row r="16" spans="2:13" x14ac:dyDescent="0.3">
      <c r="B16" s="109" t="s">
        <v>194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</row>
    <row r="17" spans="2:13" x14ac:dyDescent="0.3">
      <c r="B17" s="109" t="s">
        <v>195</v>
      </c>
      <c r="K17" s="100"/>
      <c r="L17" s="100"/>
      <c r="M17" s="100"/>
    </row>
    <row r="18" spans="2:13" x14ac:dyDescent="0.3">
      <c r="B18" s="109" t="s">
        <v>196</v>
      </c>
      <c r="K18" s="100"/>
      <c r="L18" s="100"/>
      <c r="M18" s="100"/>
    </row>
    <row r="19" spans="2:13" ht="16.2" thickBot="1" x14ac:dyDescent="0.35">
      <c r="B19" s="109" t="s">
        <v>197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2:13" ht="33" thickBot="1" x14ac:dyDescent="0.35">
      <c r="B20" s="100"/>
      <c r="C20" s="100"/>
      <c r="D20" s="100"/>
      <c r="E20" s="122" t="s">
        <v>193</v>
      </c>
      <c r="F20" s="123" t="s">
        <v>267</v>
      </c>
      <c r="G20" s="124" t="s">
        <v>199</v>
      </c>
      <c r="H20" s="125" t="s">
        <v>200</v>
      </c>
      <c r="I20" s="126"/>
      <c r="J20" s="100"/>
      <c r="K20" s="100"/>
      <c r="L20" s="100"/>
      <c r="M20" s="100"/>
    </row>
    <row r="21" spans="2:13" x14ac:dyDescent="0.3">
      <c r="B21" s="100"/>
      <c r="C21" s="111"/>
      <c r="D21" s="383" t="s">
        <v>201</v>
      </c>
      <c r="E21" s="118">
        <f>E12+H12</f>
        <v>44929</v>
      </c>
      <c r="F21" s="118">
        <f>EDATE(E21, G12)</f>
        <v>44988</v>
      </c>
      <c r="G21" s="102">
        <v>44988</v>
      </c>
      <c r="H21" s="127">
        <v>44988</v>
      </c>
      <c r="I21" s="386" t="s">
        <v>202</v>
      </c>
      <c r="J21" s="100"/>
      <c r="K21" s="100"/>
      <c r="L21" s="100"/>
      <c r="M21" s="100"/>
    </row>
    <row r="22" spans="2:13" x14ac:dyDescent="0.3">
      <c r="B22" s="100"/>
      <c r="C22" s="111"/>
      <c r="D22" s="384"/>
      <c r="E22" s="118">
        <f>E13+H13</f>
        <v>45512</v>
      </c>
      <c r="F22" s="118">
        <f t="shared" ref="F22:F24" si="0">EDATE(E22, G13)</f>
        <v>45665</v>
      </c>
      <c r="G22" s="102">
        <v>45665</v>
      </c>
      <c r="H22" s="127">
        <v>45665</v>
      </c>
      <c r="I22" s="387"/>
      <c r="J22" s="100"/>
      <c r="K22" s="100"/>
      <c r="L22" s="100"/>
      <c r="M22" s="100"/>
    </row>
    <row r="23" spans="2:13" x14ac:dyDescent="0.3">
      <c r="B23" s="100"/>
      <c r="C23" s="111"/>
      <c r="D23" s="384"/>
      <c r="E23" s="118">
        <f>E14+H14</f>
        <v>42252</v>
      </c>
      <c r="F23" s="118">
        <f t="shared" si="0"/>
        <v>42099</v>
      </c>
      <c r="G23" s="102">
        <v>42099</v>
      </c>
      <c r="H23" s="127">
        <v>42099</v>
      </c>
      <c r="I23" s="387"/>
      <c r="J23" s="100"/>
      <c r="K23" s="100"/>
      <c r="L23" s="100"/>
      <c r="M23" s="100"/>
    </row>
    <row r="24" spans="2:13" ht="16.2" thickBot="1" x14ac:dyDescent="0.35">
      <c r="B24" s="100"/>
      <c r="C24" s="111"/>
      <c r="D24" s="385"/>
      <c r="E24" s="118">
        <f>E15+H15</f>
        <v>45770</v>
      </c>
      <c r="F24" s="118">
        <f t="shared" si="0"/>
        <v>45405</v>
      </c>
      <c r="G24" s="102">
        <v>45405</v>
      </c>
      <c r="H24" s="127">
        <v>45405</v>
      </c>
      <c r="I24" s="388"/>
      <c r="J24" s="100"/>
      <c r="K24" s="100"/>
      <c r="L24" s="100"/>
      <c r="M24" s="100"/>
    </row>
    <row r="25" spans="2:13" x14ac:dyDescent="0.3">
      <c r="B25" s="100"/>
      <c r="C25" s="100"/>
      <c r="D25" s="100"/>
      <c r="E25" s="100"/>
      <c r="F25" s="100"/>
      <c r="G25" s="128"/>
      <c r="H25" s="100"/>
      <c r="I25" s="100"/>
      <c r="J25" s="100"/>
      <c r="K25" s="100"/>
      <c r="L25" s="100"/>
      <c r="M25" s="100"/>
    </row>
    <row r="26" spans="2:13" x14ac:dyDescent="0.3">
      <c r="B26" s="100"/>
      <c r="C26" s="389" t="s">
        <v>203</v>
      </c>
      <c r="D26" s="390" t="s">
        <v>204</v>
      </c>
      <c r="E26" s="102">
        <f>EOMONTH(G21, G12)</f>
        <v>45077</v>
      </c>
      <c r="F26" s="100"/>
      <c r="G26" s="100"/>
      <c r="H26" s="100"/>
      <c r="I26" s="100"/>
      <c r="J26" s="100"/>
      <c r="K26" s="100"/>
      <c r="L26" s="100"/>
      <c r="M26" s="100"/>
    </row>
    <row r="27" spans="2:13" x14ac:dyDescent="0.3">
      <c r="B27" s="100"/>
      <c r="C27" s="389"/>
      <c r="D27" s="391"/>
      <c r="E27" s="102">
        <f t="shared" ref="E27:E29" si="1">EOMONTH(G22, G13)</f>
        <v>45838</v>
      </c>
      <c r="F27" s="100"/>
      <c r="G27" s="118">
        <v>43836</v>
      </c>
      <c r="H27" s="100"/>
      <c r="I27" s="100"/>
      <c r="J27" s="100"/>
      <c r="K27" s="100"/>
      <c r="L27" s="100"/>
      <c r="M27" s="100"/>
    </row>
    <row r="28" spans="2:13" x14ac:dyDescent="0.3">
      <c r="B28" s="100"/>
      <c r="C28" s="389"/>
      <c r="D28" s="391"/>
      <c r="E28" s="102">
        <f t="shared" si="1"/>
        <v>41973</v>
      </c>
      <c r="F28" s="100"/>
      <c r="G28" s="100"/>
      <c r="H28" s="100"/>
      <c r="I28" s="100"/>
      <c r="J28" s="100"/>
      <c r="K28" s="100"/>
      <c r="L28" s="100"/>
      <c r="M28" s="100"/>
    </row>
    <row r="29" spans="2:13" x14ac:dyDescent="0.3">
      <c r="B29" s="100"/>
      <c r="C29" s="389"/>
      <c r="D29" s="392"/>
      <c r="E29" s="102">
        <f t="shared" si="1"/>
        <v>45046</v>
      </c>
      <c r="F29" s="100"/>
      <c r="G29" s="100"/>
      <c r="H29" s="100"/>
      <c r="I29" s="100"/>
      <c r="J29" s="100"/>
      <c r="K29" s="100"/>
      <c r="L29" s="100"/>
      <c r="M29" s="100"/>
    </row>
    <row r="30" spans="2:13" x14ac:dyDescent="0.3"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</row>
    <row r="31" spans="2:13" x14ac:dyDescent="0.3">
      <c r="B31" s="100"/>
      <c r="C31" s="389" t="s">
        <v>205</v>
      </c>
      <c r="D31" s="393" t="s">
        <v>187</v>
      </c>
      <c r="E31" s="129">
        <f>WEEKDAY(F31,2)</f>
        <v>5</v>
      </c>
      <c r="F31" s="102">
        <v>44988</v>
      </c>
      <c r="G31" s="127">
        <v>44988</v>
      </c>
      <c r="H31" s="100"/>
      <c r="I31" s="100"/>
      <c r="J31" s="100"/>
      <c r="K31" s="100"/>
      <c r="L31" s="100"/>
      <c r="M31" s="100"/>
    </row>
    <row r="32" spans="2:13" x14ac:dyDescent="0.3">
      <c r="B32" s="100"/>
      <c r="C32" s="389"/>
      <c r="D32" s="394"/>
      <c r="E32" s="129">
        <f t="shared" ref="E32:E34" si="2">WEEKDAY(F32,2)</f>
        <v>3</v>
      </c>
      <c r="F32" s="102">
        <v>45665</v>
      </c>
      <c r="G32" s="127">
        <v>45665</v>
      </c>
      <c r="H32" s="100"/>
      <c r="I32" s="100"/>
      <c r="J32" s="100"/>
      <c r="K32" s="100"/>
      <c r="L32" s="100"/>
      <c r="M32" s="100"/>
    </row>
    <row r="33" spans="2:13" x14ac:dyDescent="0.3">
      <c r="B33" s="100"/>
      <c r="C33" s="389"/>
      <c r="D33" s="394"/>
      <c r="E33" s="129">
        <f t="shared" si="2"/>
        <v>7</v>
      </c>
      <c r="F33" s="102">
        <v>42099</v>
      </c>
      <c r="G33" s="127">
        <v>42099</v>
      </c>
      <c r="H33" s="100"/>
      <c r="I33" s="100"/>
      <c r="J33" s="100"/>
      <c r="K33" s="100"/>
      <c r="L33" s="100"/>
      <c r="M33" s="100"/>
    </row>
    <row r="34" spans="2:13" x14ac:dyDescent="0.3">
      <c r="B34" s="100"/>
      <c r="C34" s="389"/>
      <c r="D34" s="395"/>
      <c r="E34" s="129">
        <f t="shared" si="2"/>
        <v>2</v>
      </c>
      <c r="F34" s="102">
        <v>45405</v>
      </c>
      <c r="G34" s="127">
        <v>45405</v>
      </c>
      <c r="H34" s="100"/>
      <c r="I34" s="100"/>
      <c r="J34" s="100"/>
      <c r="K34" s="100"/>
      <c r="L34" s="100"/>
      <c r="M34" s="100"/>
    </row>
    <row r="35" spans="2:13" x14ac:dyDescent="0.3"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</row>
    <row r="36" spans="2:13" x14ac:dyDescent="0.3">
      <c r="B36" s="100"/>
      <c r="C36" s="389" t="s">
        <v>206</v>
      </c>
      <c r="D36" s="393" t="s">
        <v>192</v>
      </c>
      <c r="E36" s="129">
        <f>WEEKNUM(F36,11)</f>
        <v>10</v>
      </c>
      <c r="F36" s="102">
        <v>44988</v>
      </c>
      <c r="G36" s="100"/>
      <c r="H36" s="100"/>
      <c r="I36" s="100"/>
      <c r="J36" s="100"/>
      <c r="K36" s="100"/>
      <c r="L36" s="100"/>
      <c r="M36" s="100"/>
    </row>
    <row r="37" spans="2:13" x14ac:dyDescent="0.3">
      <c r="B37" s="100"/>
      <c r="C37" s="389"/>
      <c r="D37" s="394"/>
      <c r="E37" s="129">
        <f t="shared" ref="E37:E39" si="3">WEEKNUM(F37,11)</f>
        <v>2</v>
      </c>
      <c r="F37" s="102">
        <v>45665</v>
      </c>
      <c r="G37" s="100"/>
      <c r="H37" s="100"/>
      <c r="I37" s="100"/>
      <c r="J37" s="100"/>
      <c r="K37" s="100"/>
      <c r="L37" s="100"/>
      <c r="M37" s="100"/>
    </row>
    <row r="38" spans="2:13" x14ac:dyDescent="0.3">
      <c r="B38" s="100"/>
      <c r="C38" s="389"/>
      <c r="D38" s="394"/>
      <c r="E38" s="129">
        <f t="shared" si="3"/>
        <v>14</v>
      </c>
      <c r="F38" s="102">
        <v>42099</v>
      </c>
      <c r="G38" s="100"/>
      <c r="H38" s="100"/>
      <c r="I38" s="100"/>
      <c r="J38" s="100"/>
      <c r="K38" s="100"/>
      <c r="L38" s="100"/>
      <c r="M38" s="100"/>
    </row>
    <row r="39" spans="2:13" x14ac:dyDescent="0.3">
      <c r="B39" s="100"/>
      <c r="C39" s="389"/>
      <c r="D39" s="395"/>
      <c r="E39" s="129">
        <f t="shared" si="3"/>
        <v>34</v>
      </c>
      <c r="F39" s="102">
        <v>45527</v>
      </c>
      <c r="G39" s="100"/>
      <c r="H39" s="100"/>
      <c r="I39" s="100"/>
      <c r="J39" s="100"/>
      <c r="K39" s="100"/>
      <c r="L39" s="100"/>
      <c r="M39" s="100"/>
    </row>
    <row r="40" spans="2:13" x14ac:dyDescent="0.3"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</row>
    <row r="41" spans="2:13" ht="32.4" x14ac:dyDescent="0.3">
      <c r="B41" s="100"/>
      <c r="C41" s="100"/>
      <c r="D41" s="141"/>
      <c r="E41" s="130" t="s">
        <v>207</v>
      </c>
      <c r="F41" s="130" t="s">
        <v>188</v>
      </c>
      <c r="G41" s="130" t="s">
        <v>189</v>
      </c>
      <c r="H41" s="130" t="s">
        <v>208</v>
      </c>
      <c r="I41" s="130" t="s">
        <v>209</v>
      </c>
      <c r="J41" s="100"/>
      <c r="K41" s="100"/>
      <c r="L41" s="100"/>
      <c r="M41" s="100"/>
    </row>
    <row r="42" spans="2:13" x14ac:dyDescent="0.3">
      <c r="B42" s="100"/>
      <c r="C42" s="100"/>
      <c r="D42" s="403" t="s">
        <v>191</v>
      </c>
      <c r="E42" s="131">
        <f>DATEDIF(F42, G42, "M")</f>
        <v>10</v>
      </c>
      <c r="F42" s="118">
        <v>44927</v>
      </c>
      <c r="G42" s="118">
        <v>45240</v>
      </c>
      <c r="H42" s="131">
        <f>DATEDIF(F42, G42, "D")</f>
        <v>313</v>
      </c>
      <c r="I42" s="131">
        <f>DATEDIF(F42, G42, "Y")</f>
        <v>0</v>
      </c>
      <c r="J42" s="100"/>
      <c r="K42" s="100"/>
      <c r="L42" s="100"/>
      <c r="M42" s="100"/>
    </row>
    <row r="43" spans="2:13" x14ac:dyDescent="0.3">
      <c r="B43" s="100"/>
      <c r="C43" s="100"/>
      <c r="D43" s="404"/>
      <c r="E43" s="131">
        <f t="shared" ref="E43:E45" si="4">DATEDIF(F43, G43, "M")</f>
        <v>28</v>
      </c>
      <c r="F43" s="118">
        <v>44776</v>
      </c>
      <c r="G43" s="118">
        <v>45639</v>
      </c>
      <c r="H43" s="131">
        <f t="shared" ref="H43:H45" si="5">DATEDIF(F43, G43, "D")</f>
        <v>863</v>
      </c>
      <c r="I43" s="131">
        <f t="shared" ref="I43:I45" si="6">DATEDIF(F43, G43, "Y")</f>
        <v>2</v>
      </c>
      <c r="J43" s="100"/>
      <c r="K43" s="100"/>
      <c r="L43" s="100"/>
      <c r="M43" s="100"/>
    </row>
    <row r="44" spans="2:13" x14ac:dyDescent="0.3">
      <c r="B44" s="100"/>
      <c r="C44" s="100"/>
      <c r="D44" s="404"/>
      <c r="E44" s="131">
        <f t="shared" si="4"/>
        <v>10</v>
      </c>
      <c r="F44" s="118">
        <v>42348</v>
      </c>
      <c r="G44" s="118">
        <v>42664</v>
      </c>
      <c r="H44" s="131">
        <f t="shared" si="5"/>
        <v>316</v>
      </c>
      <c r="I44" s="131">
        <f t="shared" si="6"/>
        <v>0</v>
      </c>
      <c r="J44" s="100"/>
      <c r="K44" s="100"/>
      <c r="L44" s="100"/>
      <c r="M44" s="100"/>
    </row>
    <row r="45" spans="2:13" x14ac:dyDescent="0.3">
      <c r="B45" s="100"/>
      <c r="C45" s="100"/>
      <c r="D45" s="405"/>
      <c r="E45" s="131">
        <f t="shared" si="4"/>
        <v>44</v>
      </c>
      <c r="F45" s="118">
        <v>45417</v>
      </c>
      <c r="G45" s="118">
        <v>46757</v>
      </c>
      <c r="H45" s="131">
        <f t="shared" si="5"/>
        <v>1340</v>
      </c>
      <c r="I45" s="131">
        <f t="shared" si="6"/>
        <v>3</v>
      </c>
      <c r="J45" s="100"/>
      <c r="K45" s="100"/>
      <c r="L45" s="100"/>
      <c r="M45" s="100"/>
    </row>
    <row r="46" spans="2:13" x14ac:dyDescent="0.3"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</row>
    <row r="47" spans="2:13" ht="16.2" x14ac:dyDescent="0.3">
      <c r="B47" s="100"/>
      <c r="C47" s="100"/>
      <c r="D47" s="133" t="s">
        <v>210</v>
      </c>
      <c r="E47" s="105" t="s">
        <v>211</v>
      </c>
      <c r="F47" s="193">
        <f ca="1">DATEDIF($D$48, $I$48, "Y" )</f>
        <v>34</v>
      </c>
      <c r="G47" s="406" t="s">
        <v>212</v>
      </c>
      <c r="H47" s="100"/>
      <c r="I47" s="100"/>
      <c r="J47" s="100"/>
      <c r="K47" s="100"/>
      <c r="L47" s="100"/>
      <c r="M47" s="100"/>
    </row>
    <row r="48" spans="2:13" ht="16.2" x14ac:dyDescent="0.3">
      <c r="B48" s="100"/>
      <c r="C48" s="100"/>
      <c r="D48" s="136">
        <v>33463</v>
      </c>
      <c r="E48" s="105" t="s">
        <v>198</v>
      </c>
      <c r="F48" s="193">
        <f ca="1">DATEDIF($D$48, $I$48, "M" )</f>
        <v>419</v>
      </c>
      <c r="G48" s="406"/>
      <c r="H48" s="135" t="s">
        <v>213</v>
      </c>
      <c r="I48" s="137">
        <f ca="1">TODAY()</f>
        <v>46241</v>
      </c>
      <c r="J48" s="100"/>
      <c r="K48" s="100"/>
      <c r="L48" s="100"/>
      <c r="M48" s="100"/>
    </row>
    <row r="49" spans="2:13" ht="16.2" x14ac:dyDescent="0.3">
      <c r="B49" s="100"/>
      <c r="C49" s="100"/>
      <c r="D49" s="100"/>
      <c r="E49" s="105" t="s">
        <v>193</v>
      </c>
      <c r="F49" s="193">
        <f ca="1">DATEDIF($D$48, $I$48, "D" )</f>
        <v>12778</v>
      </c>
      <c r="G49" s="406"/>
      <c r="H49" s="100"/>
      <c r="I49" s="100"/>
      <c r="J49" s="100"/>
      <c r="K49" s="100"/>
      <c r="L49" s="100"/>
      <c r="M49" s="100"/>
    </row>
    <row r="50" spans="2:13" x14ac:dyDescent="0.3"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</row>
    <row r="51" spans="2:13" x14ac:dyDescent="0.3"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</row>
    <row r="52" spans="2:13" x14ac:dyDescent="0.3">
      <c r="B52" s="407" t="s">
        <v>214</v>
      </c>
      <c r="C52" s="408"/>
      <c r="D52" s="408"/>
      <c r="E52" s="408"/>
      <c r="F52" s="408"/>
      <c r="G52" s="408"/>
      <c r="H52" s="408"/>
      <c r="I52" s="409" t="s">
        <v>215</v>
      </c>
      <c r="J52" s="100"/>
      <c r="K52" s="100"/>
      <c r="L52" s="100"/>
      <c r="M52" s="100"/>
    </row>
    <row r="53" spans="2:13" x14ac:dyDescent="0.3">
      <c r="B53" s="101" t="s">
        <v>188</v>
      </c>
      <c r="C53" s="102">
        <v>43832</v>
      </c>
      <c r="D53" s="102">
        <v>43832</v>
      </c>
      <c r="E53" s="102">
        <v>43832</v>
      </c>
      <c r="F53" s="102">
        <v>43832</v>
      </c>
      <c r="G53" s="102">
        <v>43832</v>
      </c>
      <c r="H53" s="103">
        <v>43832</v>
      </c>
      <c r="I53" s="409"/>
      <c r="J53" s="100"/>
      <c r="K53" s="100"/>
      <c r="L53" s="100"/>
      <c r="M53" s="100"/>
    </row>
    <row r="54" spans="2:13" x14ac:dyDescent="0.3">
      <c r="B54" s="101" t="s">
        <v>189</v>
      </c>
      <c r="C54" s="102">
        <v>44531</v>
      </c>
      <c r="D54" s="102">
        <v>44531</v>
      </c>
      <c r="E54" s="102">
        <v>44531</v>
      </c>
      <c r="F54" s="102">
        <v>44531</v>
      </c>
      <c r="G54" s="102">
        <v>44531</v>
      </c>
      <c r="H54" s="103">
        <v>44531</v>
      </c>
      <c r="I54" s="409"/>
      <c r="J54" s="100"/>
      <c r="K54" s="100"/>
      <c r="L54" s="100"/>
      <c r="M54" s="100"/>
    </row>
    <row r="55" spans="2:13" ht="16.2" x14ac:dyDescent="0.3">
      <c r="B55" s="101" t="s">
        <v>216</v>
      </c>
      <c r="C55" s="104" t="s">
        <v>173</v>
      </c>
      <c r="D55" s="104" t="s">
        <v>46</v>
      </c>
      <c r="E55" s="104" t="s">
        <v>37</v>
      </c>
      <c r="F55" s="104" t="s">
        <v>217</v>
      </c>
      <c r="G55" s="104" t="s">
        <v>218</v>
      </c>
      <c r="H55" s="105" t="s">
        <v>219</v>
      </c>
      <c r="I55" s="409"/>
      <c r="J55" s="100"/>
      <c r="K55" s="100"/>
      <c r="L55" s="100"/>
      <c r="M55" s="100"/>
    </row>
    <row r="56" spans="2:13" ht="16.2" x14ac:dyDescent="0.3">
      <c r="B56" s="104" t="s">
        <v>220</v>
      </c>
      <c r="C56" s="104">
        <f>DATEDIF(C53, C54, "Y")</f>
        <v>1</v>
      </c>
      <c r="D56" s="104">
        <f>DATEDIF(D53, D54, "M")</f>
        <v>22</v>
      </c>
      <c r="E56" s="104">
        <f>DATEDIF(E53, E54, "D")</f>
        <v>699</v>
      </c>
      <c r="F56" s="104">
        <f>DATEDIF(F53,  F54, "MD")</f>
        <v>29</v>
      </c>
      <c r="G56" s="104">
        <f>DATEDIF(G53,G54, "YM")</f>
        <v>10</v>
      </c>
      <c r="H56" s="105">
        <f>DATEDIF(H53, H54, "YD")</f>
        <v>334</v>
      </c>
      <c r="I56" s="409"/>
      <c r="J56" s="100"/>
      <c r="K56" s="100"/>
      <c r="L56" s="100"/>
      <c r="M56" s="100"/>
    </row>
    <row r="57" spans="2:13" x14ac:dyDescent="0.3"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</row>
    <row r="58" spans="2:13" ht="16.2" x14ac:dyDescent="0.3">
      <c r="B58" s="108" t="s">
        <v>173</v>
      </c>
      <c r="C58" s="108" t="s">
        <v>221</v>
      </c>
      <c r="D58" s="100"/>
      <c r="E58" s="100"/>
      <c r="F58" s="100"/>
      <c r="G58" s="100"/>
      <c r="H58" s="100"/>
      <c r="I58" s="100"/>
      <c r="J58" s="100"/>
      <c r="K58" s="100"/>
      <c r="L58" s="100"/>
      <c r="M58" s="100"/>
    </row>
    <row r="59" spans="2:13" ht="37.799999999999997" thickBot="1" x14ac:dyDescent="0.35">
      <c r="B59" s="108" t="s">
        <v>46</v>
      </c>
      <c r="C59" s="108" t="s">
        <v>222</v>
      </c>
      <c r="D59" s="100"/>
      <c r="E59" s="220" t="s">
        <v>188</v>
      </c>
      <c r="F59" s="221" t="s">
        <v>189</v>
      </c>
      <c r="G59" s="222" t="s">
        <v>223</v>
      </c>
      <c r="H59" s="223" t="s">
        <v>224</v>
      </c>
      <c r="I59" s="100"/>
      <c r="J59" s="100"/>
      <c r="K59" s="100"/>
      <c r="L59" s="100"/>
      <c r="M59" s="100"/>
    </row>
    <row r="60" spans="2:13" ht="20.399999999999999" thickBot="1" x14ac:dyDescent="0.35">
      <c r="B60" s="108" t="s">
        <v>37</v>
      </c>
      <c r="C60" s="108" t="s">
        <v>225</v>
      </c>
      <c r="D60" s="100"/>
      <c r="E60" s="216">
        <v>44927</v>
      </c>
      <c r="F60" s="217">
        <v>45291</v>
      </c>
      <c r="G60" s="218">
        <f>NETWORKDAYS(E60, F60)</f>
        <v>260</v>
      </c>
      <c r="H60" s="219">
        <f>NETWORKDAYS(E60, F60, D67:D69)</f>
        <v>257</v>
      </c>
      <c r="I60" s="396" t="s">
        <v>196</v>
      </c>
      <c r="J60" s="100"/>
      <c r="K60" s="100"/>
      <c r="L60" s="100"/>
      <c r="M60" s="100"/>
    </row>
    <row r="61" spans="2:13" ht="48.6" x14ac:dyDescent="0.3">
      <c r="B61" s="108" t="s">
        <v>217</v>
      </c>
      <c r="C61" s="108" t="s">
        <v>226</v>
      </c>
      <c r="D61" s="100"/>
      <c r="E61" s="216">
        <v>45292</v>
      </c>
      <c r="F61" s="217">
        <v>45657</v>
      </c>
      <c r="G61" s="218">
        <f>NETWORKDAYS(E61, F61)</f>
        <v>262</v>
      </c>
      <c r="H61" s="219">
        <f>NETWORKDAYS(E61,F61,D70:D72)</f>
        <v>259</v>
      </c>
      <c r="I61" s="397"/>
      <c r="J61" s="106" t="s">
        <v>227</v>
      </c>
      <c r="K61" s="100"/>
      <c r="L61" s="100"/>
      <c r="M61" s="100"/>
    </row>
    <row r="62" spans="2:13" ht="48.6" x14ac:dyDescent="0.3">
      <c r="B62" s="108" t="s">
        <v>218</v>
      </c>
      <c r="C62" s="108" t="s">
        <v>228</v>
      </c>
      <c r="D62" s="100"/>
      <c r="E62" s="210">
        <v>42005</v>
      </c>
      <c r="F62" s="211">
        <v>42369</v>
      </c>
      <c r="G62" s="212">
        <f>NETWORKDAYS.INTL(E62, F62,1)</f>
        <v>261</v>
      </c>
      <c r="H62" s="213">
        <f>NETWORKDAYS.INTL(E62, F62, 1, G67:G69)</f>
        <v>259</v>
      </c>
      <c r="I62" s="398" t="s">
        <v>197</v>
      </c>
      <c r="J62" s="106">
        <f>NETWORKDAYS.INTL(E63, F63,11)</f>
        <v>313</v>
      </c>
      <c r="K62" s="100"/>
      <c r="L62" s="100"/>
      <c r="M62" s="100"/>
    </row>
    <row r="63" spans="2:13" ht="32.4" x14ac:dyDescent="0.3">
      <c r="B63" s="108" t="s">
        <v>219</v>
      </c>
      <c r="C63" s="108" t="s">
        <v>229</v>
      </c>
      <c r="D63" s="100"/>
      <c r="E63" s="214">
        <v>45658</v>
      </c>
      <c r="F63" s="215">
        <v>46022</v>
      </c>
      <c r="G63" s="212">
        <f>NETWORKDAYS.INTL(E63, F63,1)</f>
        <v>261</v>
      </c>
      <c r="H63" s="213">
        <f>NETWORKDAYS.INTL(E63, F63, 1, G70:G72)</f>
        <v>258</v>
      </c>
      <c r="I63" s="399"/>
      <c r="J63" s="100"/>
      <c r="K63" s="100"/>
      <c r="L63" s="100"/>
      <c r="M63" s="100"/>
    </row>
    <row r="64" spans="2:13" x14ac:dyDescent="0.3"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</row>
    <row r="65" spans="2:13" x14ac:dyDescent="0.3"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 spans="2:13" ht="16.2" x14ac:dyDescent="0.3">
      <c r="B66" s="138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 spans="2:13" ht="31.2" x14ac:dyDescent="0.3">
      <c r="B67" s="207"/>
      <c r="C67" s="410" t="s">
        <v>270</v>
      </c>
      <c r="D67" s="208">
        <v>44952</v>
      </c>
      <c r="E67" s="142" t="s">
        <v>230</v>
      </c>
      <c r="F67" s="400" t="s">
        <v>231</v>
      </c>
      <c r="G67" s="143">
        <v>42052</v>
      </c>
      <c r="H67" s="144" t="s">
        <v>232</v>
      </c>
      <c r="I67" s="402" t="s">
        <v>233</v>
      </c>
      <c r="J67" s="100"/>
      <c r="K67" s="100"/>
      <c r="L67" s="100"/>
      <c r="M67" s="100"/>
    </row>
    <row r="68" spans="2:13" ht="31.2" x14ac:dyDescent="0.3">
      <c r="B68" s="207"/>
      <c r="C68" s="410"/>
      <c r="D68" s="209">
        <v>45153</v>
      </c>
      <c r="E68" s="101" t="s">
        <v>234</v>
      </c>
      <c r="F68" s="401"/>
      <c r="G68" s="139">
        <v>42189</v>
      </c>
      <c r="H68" s="140" t="s">
        <v>234</v>
      </c>
      <c r="I68" s="402"/>
      <c r="J68" s="100"/>
      <c r="K68" s="100"/>
      <c r="L68" s="100"/>
      <c r="M68" s="100"/>
    </row>
    <row r="69" spans="2:13" ht="16.2" x14ac:dyDescent="0.3">
      <c r="B69" s="207"/>
      <c r="C69" s="410"/>
      <c r="D69" s="208">
        <v>45201</v>
      </c>
      <c r="E69" s="142" t="s">
        <v>235</v>
      </c>
      <c r="F69" s="401"/>
      <c r="G69" s="143">
        <v>42248</v>
      </c>
      <c r="H69" s="144" t="s">
        <v>236</v>
      </c>
      <c r="I69" s="402"/>
      <c r="J69" s="100"/>
      <c r="K69" s="100"/>
      <c r="L69" s="100"/>
      <c r="M69" s="100"/>
    </row>
    <row r="70" spans="2:13" ht="31.2" x14ac:dyDescent="0.3">
      <c r="B70" s="100"/>
      <c r="C70" s="410"/>
      <c r="D70" s="208">
        <v>45317</v>
      </c>
      <c r="E70" s="142" t="s">
        <v>230</v>
      </c>
      <c r="F70" s="401"/>
      <c r="G70" s="143">
        <v>45705</v>
      </c>
      <c r="H70" s="144" t="s">
        <v>232</v>
      </c>
      <c r="I70" s="100"/>
      <c r="J70" s="100"/>
      <c r="K70" s="100"/>
      <c r="L70" s="100"/>
      <c r="M70" s="100"/>
    </row>
    <row r="71" spans="2:13" ht="31.2" x14ac:dyDescent="0.3">
      <c r="B71" s="100"/>
      <c r="C71" s="410"/>
      <c r="D71" s="209">
        <v>45519</v>
      </c>
      <c r="E71" s="101" t="s">
        <v>234</v>
      </c>
      <c r="F71" s="401"/>
      <c r="G71" s="139">
        <v>45842</v>
      </c>
      <c r="H71" s="140" t="s">
        <v>234</v>
      </c>
      <c r="I71" s="100"/>
      <c r="J71" s="100"/>
      <c r="K71" s="100"/>
      <c r="L71" s="100"/>
      <c r="M71" s="100"/>
    </row>
    <row r="72" spans="2:13" ht="15.6" customHeight="1" x14ac:dyDescent="0.3">
      <c r="B72" s="100"/>
      <c r="C72" s="410"/>
      <c r="D72" s="208">
        <v>45567</v>
      </c>
      <c r="E72" s="142" t="s">
        <v>235</v>
      </c>
      <c r="F72" s="401"/>
      <c r="G72" s="143">
        <v>45901</v>
      </c>
      <c r="H72" s="144" t="s">
        <v>236</v>
      </c>
      <c r="I72" s="100"/>
      <c r="J72" s="100"/>
      <c r="K72" s="100"/>
      <c r="L72" s="100"/>
      <c r="M72" s="100"/>
    </row>
    <row r="73" spans="2:13" ht="15.6" customHeight="1" x14ac:dyDescent="0.3">
      <c r="B73" s="100"/>
      <c r="C73" s="410"/>
      <c r="D73" s="208">
        <v>42030</v>
      </c>
      <c r="E73" s="142" t="s">
        <v>230</v>
      </c>
      <c r="F73" s="401"/>
      <c r="G73" s="100"/>
      <c r="H73" s="100"/>
      <c r="I73" s="100"/>
      <c r="J73" s="100"/>
      <c r="K73" s="100"/>
      <c r="L73" s="100"/>
      <c r="M73" s="100"/>
    </row>
    <row r="74" spans="2:13" ht="31.2" x14ac:dyDescent="0.3">
      <c r="B74" s="100"/>
      <c r="C74" s="410"/>
      <c r="D74" s="209">
        <v>42231</v>
      </c>
      <c r="E74" s="101" t="s">
        <v>234</v>
      </c>
      <c r="F74" s="401"/>
      <c r="G74" s="100"/>
      <c r="H74" s="100"/>
      <c r="I74" s="100"/>
      <c r="J74" s="100"/>
      <c r="K74" s="100"/>
      <c r="L74" s="100"/>
      <c r="M74" s="100"/>
    </row>
    <row r="75" spans="2:13" ht="15.6" customHeight="1" x14ac:dyDescent="0.3">
      <c r="B75" s="100"/>
      <c r="C75" s="410"/>
      <c r="D75" s="208">
        <v>42279</v>
      </c>
      <c r="E75" s="142" t="s">
        <v>235</v>
      </c>
      <c r="F75" s="401"/>
      <c r="G75" s="100"/>
      <c r="H75" s="100"/>
      <c r="I75" s="100"/>
      <c r="J75" s="100"/>
      <c r="K75" s="100"/>
      <c r="L75" s="100"/>
      <c r="M75" s="100"/>
    </row>
    <row r="76" spans="2:13" x14ac:dyDescent="0.3"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</row>
    <row r="77" spans="2:13" x14ac:dyDescent="0.3"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</row>
  </sheetData>
  <mergeCells count="17">
    <mergeCell ref="I60:I61"/>
    <mergeCell ref="I62:I63"/>
    <mergeCell ref="F67:F75"/>
    <mergeCell ref="I67:I69"/>
    <mergeCell ref="C36:C39"/>
    <mergeCell ref="D36:D39"/>
    <mergeCell ref="D42:D45"/>
    <mergeCell ref="G47:G49"/>
    <mergeCell ref="B52:H52"/>
    <mergeCell ref="I52:I56"/>
    <mergeCell ref="C67:C75"/>
    <mergeCell ref="D21:D24"/>
    <mergeCell ref="I21:I24"/>
    <mergeCell ref="C26:C29"/>
    <mergeCell ref="D26:D29"/>
    <mergeCell ref="C31:C34"/>
    <mergeCell ref="D31:D34"/>
  </mergeCells>
  <pageMargins left="0.7" right="0.7" top="0.75" bottom="0.75" header="0.3" footer="0.3"/>
  <ignoredErrors>
    <ignoredError sqref="H60:H63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4520-AD68-4F01-8ACF-48FDA2B3544F}">
  <dimension ref="A1:K60"/>
  <sheetViews>
    <sheetView tabSelected="1" zoomScale="67" zoomScaleNormal="100" workbookViewId="0">
      <selection activeCell="F3" sqref="A1:F21"/>
    </sheetView>
  </sheetViews>
  <sheetFormatPr defaultColWidth="8.6640625" defaultRowHeight="15.6" x14ac:dyDescent="0.3"/>
  <cols>
    <col min="1" max="1" width="8.6640625" style="107"/>
    <col min="2" max="2" width="15.88671875" style="107" customWidth="1"/>
    <col min="3" max="3" width="18.88671875" style="107" customWidth="1"/>
    <col min="4" max="4" width="25" style="107" customWidth="1"/>
    <col min="5" max="5" width="14.77734375" style="107" customWidth="1"/>
    <col min="6" max="6" width="30.5546875" style="107" customWidth="1"/>
    <col min="7" max="7" width="8.6640625" style="107"/>
    <col min="8" max="8" width="19.77734375" style="107" customWidth="1"/>
    <col min="9" max="9" width="40.5546875" style="107" customWidth="1"/>
    <col min="10" max="10" width="13.109375" style="107" bestFit="1" customWidth="1"/>
    <col min="11" max="11" width="8.6640625" style="107"/>
    <col min="12" max="12" width="14.109375" style="107" bestFit="1" customWidth="1"/>
    <col min="13" max="16384" width="8.6640625" style="107"/>
  </cols>
  <sheetData>
    <row r="1" spans="1:11" x14ac:dyDescent="0.3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1" s="13" customFormat="1" ht="18" x14ac:dyDescent="0.35">
      <c r="A2" s="146"/>
      <c r="B2" s="147" t="s">
        <v>101</v>
      </c>
      <c r="C2" s="147" t="s">
        <v>237</v>
      </c>
      <c r="D2" s="147" t="s">
        <v>238</v>
      </c>
      <c r="E2" s="147" t="s">
        <v>239</v>
      </c>
      <c r="F2" s="30"/>
      <c r="G2" s="30"/>
      <c r="H2" s="30"/>
      <c r="I2" s="30"/>
      <c r="J2" s="30"/>
      <c r="K2" s="146"/>
    </row>
    <row r="3" spans="1:11" ht="18" x14ac:dyDescent="0.3">
      <c r="A3" s="148"/>
      <c r="B3" s="150">
        <v>1</v>
      </c>
      <c r="C3" s="151" t="s">
        <v>33</v>
      </c>
      <c r="D3" s="151">
        <v>200</v>
      </c>
      <c r="E3" s="224" t="str">
        <f>IF(D3&gt;=180,"Excellent","Good")</f>
        <v>Excellent</v>
      </c>
      <c r="F3" s="412" t="s">
        <v>240</v>
      </c>
      <c r="G3" s="149"/>
      <c r="H3" s="415" t="s">
        <v>241</v>
      </c>
      <c r="I3" s="224" t="str" cm="1">
        <f t="array" ref="I3">_xlfn.IFS(D3&lt;150, "POOR", D3&gt;=150, "Good")</f>
        <v>Good</v>
      </c>
      <c r="J3" s="416" t="s">
        <v>242</v>
      </c>
      <c r="K3" s="148"/>
    </row>
    <row r="4" spans="1:11" ht="18" x14ac:dyDescent="0.3">
      <c r="A4" s="148"/>
      <c r="B4" s="150">
        <v>2</v>
      </c>
      <c r="C4" s="151" t="s">
        <v>35</v>
      </c>
      <c r="D4" s="151">
        <v>180</v>
      </c>
      <c r="E4" s="224" t="str">
        <f t="shared" ref="E4:E35" si="0">IF(D4&gt;=180,"Excellent","Good")</f>
        <v>Excellent</v>
      </c>
      <c r="F4" s="413"/>
      <c r="G4" s="149"/>
      <c r="H4" s="415"/>
      <c r="I4" s="224" t="str" cm="1">
        <f t="array" ref="I4">_xlfn.IFS(D4&lt;150, "POOR", D4&gt;=150, "Good")</f>
        <v>Good</v>
      </c>
      <c r="J4" s="416"/>
      <c r="K4" s="148"/>
    </row>
    <row r="5" spans="1:11" ht="18" x14ac:dyDescent="0.3">
      <c r="A5" s="148"/>
      <c r="B5" s="150">
        <v>3</v>
      </c>
      <c r="C5" s="151" t="s">
        <v>36</v>
      </c>
      <c r="D5" s="151">
        <v>140</v>
      </c>
      <c r="E5" s="224" t="str">
        <f t="shared" si="0"/>
        <v>Good</v>
      </c>
      <c r="F5" s="413"/>
      <c r="G5" s="149"/>
      <c r="H5" s="415"/>
      <c r="I5" s="224" t="str" cm="1">
        <f t="array" ref="I5">_xlfn.IFS(D5&lt;150, "POOR", D5&gt;=150, "Good")</f>
        <v>POOR</v>
      </c>
      <c r="J5" s="416"/>
      <c r="K5" s="148"/>
    </row>
    <row r="6" spans="1:11" ht="24" x14ac:dyDescent="0.3">
      <c r="A6" s="148"/>
      <c r="B6" s="150">
        <v>4</v>
      </c>
      <c r="C6" s="152" t="s">
        <v>37</v>
      </c>
      <c r="D6" s="152">
        <v>120</v>
      </c>
      <c r="E6" s="224" t="str">
        <f t="shared" si="0"/>
        <v>Good</v>
      </c>
      <c r="F6" s="413"/>
      <c r="G6" s="149"/>
      <c r="H6" s="225"/>
      <c r="I6" s="224"/>
      <c r="J6" s="416"/>
      <c r="K6" s="148"/>
    </row>
    <row r="7" spans="1:11" ht="18" x14ac:dyDescent="0.3">
      <c r="A7" s="148"/>
      <c r="B7" s="150">
        <v>5</v>
      </c>
      <c r="C7" s="152" t="s">
        <v>38</v>
      </c>
      <c r="D7" s="152">
        <v>140</v>
      </c>
      <c r="E7" s="224" t="str">
        <f t="shared" si="0"/>
        <v>Good</v>
      </c>
      <c r="F7" s="413"/>
      <c r="G7" s="149"/>
      <c r="H7" s="417" t="s">
        <v>243</v>
      </c>
      <c r="I7" s="224" t="str" cm="1">
        <f t="array" ref="I7">_xlfn.IFS(D6&lt;100, "Very poor", D6&lt;=150, "Average", D6&gt;=150, "Good")</f>
        <v>Average</v>
      </c>
      <c r="J7" s="416"/>
      <c r="K7" s="148"/>
    </row>
    <row r="8" spans="1:11" ht="18" x14ac:dyDescent="0.3">
      <c r="A8" s="148"/>
      <c r="B8" s="150">
        <v>6</v>
      </c>
      <c r="C8" s="152" t="s">
        <v>39</v>
      </c>
      <c r="D8" s="152">
        <v>190</v>
      </c>
      <c r="E8" s="224" t="str">
        <f t="shared" si="0"/>
        <v>Excellent</v>
      </c>
      <c r="F8" s="413"/>
      <c r="G8" s="149"/>
      <c r="H8" s="417"/>
      <c r="I8" s="224" t="str" cm="1">
        <f t="array" ref="I8">_xlfn.IFS(D7&lt;100, "Very poor", D7&lt;=150, "Average", D7&gt;=150, "Good")</f>
        <v>Average</v>
      </c>
      <c r="J8" s="416"/>
      <c r="K8" s="148"/>
    </row>
    <row r="9" spans="1:11" ht="18" x14ac:dyDescent="0.3">
      <c r="A9" s="148"/>
      <c r="B9" s="150">
        <v>7</v>
      </c>
      <c r="C9" s="150" t="s">
        <v>40</v>
      </c>
      <c r="D9" s="150">
        <v>200</v>
      </c>
      <c r="E9" s="224" t="str">
        <f t="shared" si="0"/>
        <v>Excellent</v>
      </c>
      <c r="F9" s="413"/>
      <c r="G9" s="149"/>
      <c r="H9" s="417"/>
      <c r="I9" s="224" t="str" cm="1">
        <f t="array" ref="I9">_xlfn.IFS(D8&lt;100, "Very poor", D8&lt;=150, "Average", D8&gt;=150, "Good")</f>
        <v>Good</v>
      </c>
      <c r="J9" s="416"/>
      <c r="K9" s="148"/>
    </row>
    <row r="10" spans="1:11" ht="24" x14ac:dyDescent="0.35">
      <c r="A10" s="148"/>
      <c r="B10" s="150">
        <v>8</v>
      </c>
      <c r="C10" s="150" t="s">
        <v>41</v>
      </c>
      <c r="D10" s="150">
        <v>90</v>
      </c>
      <c r="E10" s="224" t="str">
        <f t="shared" si="0"/>
        <v>Good</v>
      </c>
      <c r="F10" s="413"/>
      <c r="G10" s="149"/>
      <c r="H10" s="225"/>
      <c r="I10" s="146"/>
      <c r="J10" s="416"/>
      <c r="K10" s="148"/>
    </row>
    <row r="11" spans="1:11" ht="18" x14ac:dyDescent="0.3">
      <c r="A11" s="148"/>
      <c r="B11" s="150">
        <v>9</v>
      </c>
      <c r="C11" s="150" t="s">
        <v>42</v>
      </c>
      <c r="D11" s="150">
        <v>150</v>
      </c>
      <c r="E11" s="224" t="str">
        <f t="shared" si="0"/>
        <v>Good</v>
      </c>
      <c r="F11" s="413"/>
      <c r="G11" s="153"/>
      <c r="H11" s="418" t="s">
        <v>244</v>
      </c>
      <c r="I11" s="224"/>
      <c r="J11" s="416"/>
      <c r="K11" s="148"/>
    </row>
    <row r="12" spans="1:11" ht="18" x14ac:dyDescent="0.3">
      <c r="A12" s="148"/>
      <c r="B12" s="150">
        <v>10</v>
      </c>
      <c r="C12" s="150" t="s">
        <v>43</v>
      </c>
      <c r="D12" s="150">
        <v>200</v>
      </c>
      <c r="E12" s="224" t="str">
        <f t="shared" si="0"/>
        <v>Excellent</v>
      </c>
      <c r="F12" s="413"/>
      <c r="G12" s="153"/>
      <c r="H12" s="418"/>
      <c r="I12" s="224"/>
      <c r="J12" s="416"/>
      <c r="K12" s="148"/>
    </row>
    <row r="13" spans="1:11" ht="18" x14ac:dyDescent="0.3">
      <c r="A13" s="148"/>
      <c r="B13" s="150">
        <v>11</v>
      </c>
      <c r="C13" s="150" t="s">
        <v>44</v>
      </c>
      <c r="D13" s="150">
        <v>170</v>
      </c>
      <c r="E13" s="224" t="str">
        <f t="shared" si="0"/>
        <v>Good</v>
      </c>
      <c r="F13" s="413"/>
      <c r="G13" s="153"/>
      <c r="H13" s="418"/>
      <c r="I13" s="224"/>
      <c r="J13" s="416"/>
      <c r="K13" s="148"/>
    </row>
    <row r="14" spans="1:11" ht="18.600000000000001" x14ac:dyDescent="0.3">
      <c r="A14" s="148"/>
      <c r="B14" s="150">
        <v>12</v>
      </c>
      <c r="C14" s="150" t="s">
        <v>45</v>
      </c>
      <c r="D14" s="150">
        <v>180</v>
      </c>
      <c r="E14" s="224" t="str">
        <f t="shared" si="0"/>
        <v>Excellent</v>
      </c>
      <c r="F14" s="413"/>
      <c r="G14" s="153"/>
      <c r="H14" s="419" t="s">
        <v>215</v>
      </c>
      <c r="I14" s="419"/>
      <c r="J14" s="149"/>
      <c r="K14" s="148"/>
    </row>
    <row r="15" spans="1:11" ht="18" x14ac:dyDescent="0.3">
      <c r="A15" s="148"/>
      <c r="B15" s="150">
        <v>13</v>
      </c>
      <c r="C15" s="150" t="s">
        <v>46</v>
      </c>
      <c r="D15" s="150">
        <v>190</v>
      </c>
      <c r="E15" s="224" t="str">
        <f t="shared" si="0"/>
        <v>Excellent</v>
      </c>
      <c r="F15" s="413"/>
      <c r="G15" s="149"/>
      <c r="H15" s="149"/>
      <c r="I15" s="149"/>
      <c r="J15" s="149"/>
      <c r="K15" s="148"/>
    </row>
    <row r="16" spans="1:11" ht="18" x14ac:dyDescent="0.3">
      <c r="A16" s="148"/>
      <c r="B16" s="150">
        <v>14</v>
      </c>
      <c r="C16" s="150" t="s">
        <v>34</v>
      </c>
      <c r="D16" s="150">
        <v>160</v>
      </c>
      <c r="E16" s="224" t="str">
        <f t="shared" si="0"/>
        <v>Good</v>
      </c>
      <c r="F16" s="413"/>
      <c r="G16" s="149"/>
      <c r="H16" s="149"/>
      <c r="I16" s="149"/>
      <c r="J16" s="149"/>
      <c r="K16" s="148"/>
    </row>
    <row r="17" spans="1:11" ht="18" x14ac:dyDescent="0.3">
      <c r="A17" s="148"/>
      <c r="B17" s="150">
        <v>15</v>
      </c>
      <c r="C17" s="150" t="s">
        <v>245</v>
      </c>
      <c r="D17" s="150">
        <v>100</v>
      </c>
      <c r="E17" s="224" t="str">
        <f t="shared" si="0"/>
        <v>Good</v>
      </c>
      <c r="F17" s="413"/>
      <c r="G17" s="149"/>
      <c r="H17" s="149"/>
      <c r="I17" s="149"/>
      <c r="J17" s="149"/>
      <c r="K17" s="148"/>
    </row>
    <row r="18" spans="1:11" ht="18" x14ac:dyDescent="0.3">
      <c r="A18" s="148"/>
      <c r="B18" s="150">
        <v>16</v>
      </c>
      <c r="C18" s="150" t="s">
        <v>246</v>
      </c>
      <c r="D18" s="150">
        <v>140</v>
      </c>
      <c r="E18" s="224" t="str">
        <f t="shared" si="0"/>
        <v>Good</v>
      </c>
      <c r="F18" s="413"/>
      <c r="G18" s="149"/>
      <c r="H18" s="149"/>
      <c r="I18" s="149"/>
      <c r="J18" s="149"/>
      <c r="K18" s="148"/>
    </row>
    <row r="19" spans="1:11" ht="18" x14ac:dyDescent="0.3">
      <c r="A19" s="148"/>
      <c r="B19" s="150">
        <v>17</v>
      </c>
      <c r="C19" s="150" t="s">
        <v>247</v>
      </c>
      <c r="D19" s="150">
        <v>130</v>
      </c>
      <c r="E19" s="224" t="str">
        <f t="shared" si="0"/>
        <v>Good</v>
      </c>
      <c r="F19" s="413"/>
      <c r="G19" s="149"/>
      <c r="H19" s="149"/>
      <c r="I19" s="149"/>
      <c r="J19" s="149"/>
      <c r="K19" s="148"/>
    </row>
    <row r="20" spans="1:11" ht="18" x14ac:dyDescent="0.3">
      <c r="A20" s="148"/>
      <c r="B20" s="150">
        <v>18</v>
      </c>
      <c r="C20" s="150" t="s">
        <v>248</v>
      </c>
      <c r="D20" s="150">
        <v>200</v>
      </c>
      <c r="E20" s="224" t="str">
        <f t="shared" si="0"/>
        <v>Excellent</v>
      </c>
      <c r="F20" s="413"/>
      <c r="G20" s="149"/>
      <c r="H20" s="149"/>
      <c r="I20" s="149"/>
      <c r="J20" s="149"/>
      <c r="K20" s="148"/>
    </row>
    <row r="21" spans="1:11" ht="18" x14ac:dyDescent="0.3">
      <c r="A21" s="148"/>
      <c r="B21" s="150">
        <v>19</v>
      </c>
      <c r="C21" s="150" t="s">
        <v>249</v>
      </c>
      <c r="D21" s="150">
        <v>150</v>
      </c>
      <c r="E21" s="224" t="str">
        <f t="shared" si="0"/>
        <v>Good</v>
      </c>
      <c r="F21" s="414"/>
      <c r="G21" s="149"/>
      <c r="H21" s="149"/>
      <c r="I21" s="149"/>
      <c r="J21" s="149"/>
      <c r="K21" s="148"/>
    </row>
    <row r="22" spans="1:11" ht="18" x14ac:dyDescent="0.3">
      <c r="A22" s="148"/>
      <c r="B22" s="150">
        <v>20</v>
      </c>
      <c r="C22" s="150" t="s">
        <v>250</v>
      </c>
      <c r="D22" s="150">
        <v>120</v>
      </c>
      <c r="E22" s="224" t="str">
        <f t="shared" si="0"/>
        <v>Good</v>
      </c>
      <c r="F22" s="411" t="s">
        <v>240</v>
      </c>
      <c r="G22" s="149"/>
      <c r="H22" s="149"/>
      <c r="I22" s="149"/>
      <c r="J22" s="149"/>
      <c r="K22" s="148"/>
    </row>
    <row r="23" spans="1:11" ht="18" x14ac:dyDescent="0.3">
      <c r="A23" s="148"/>
      <c r="B23" s="150">
        <v>21</v>
      </c>
      <c r="C23" s="150" t="s">
        <v>251</v>
      </c>
      <c r="D23" s="150">
        <v>140</v>
      </c>
      <c r="E23" s="224" t="str">
        <f t="shared" si="0"/>
        <v>Good</v>
      </c>
      <c r="F23" s="411"/>
      <c r="G23" s="149"/>
      <c r="H23" s="149"/>
      <c r="I23" s="149"/>
      <c r="J23" s="149"/>
      <c r="K23" s="148"/>
    </row>
    <row r="24" spans="1:11" ht="18" x14ac:dyDescent="0.3">
      <c r="A24" s="148"/>
      <c r="B24" s="150">
        <v>22</v>
      </c>
      <c r="C24" s="150" t="s">
        <v>252</v>
      </c>
      <c r="D24" s="150">
        <v>80</v>
      </c>
      <c r="E24" s="224" t="str">
        <f t="shared" si="0"/>
        <v>Good</v>
      </c>
      <c r="F24" s="411"/>
      <c r="G24" s="149"/>
      <c r="H24" s="149"/>
      <c r="I24" s="149"/>
      <c r="J24" s="149"/>
      <c r="K24" s="148"/>
    </row>
    <row r="25" spans="1:11" ht="18" x14ac:dyDescent="0.3">
      <c r="A25" s="148"/>
      <c r="B25" s="150">
        <v>23</v>
      </c>
      <c r="C25" s="150" t="s">
        <v>253</v>
      </c>
      <c r="D25" s="150">
        <v>130</v>
      </c>
      <c r="E25" s="224" t="str">
        <f t="shared" si="0"/>
        <v>Good</v>
      </c>
      <c r="F25" s="411"/>
      <c r="G25" s="149"/>
      <c r="H25" s="149"/>
      <c r="I25" s="149"/>
      <c r="J25" s="149"/>
      <c r="K25" s="148"/>
    </row>
    <row r="26" spans="1:11" ht="18" x14ac:dyDescent="0.3">
      <c r="A26" s="148"/>
      <c r="B26" s="150">
        <v>24</v>
      </c>
      <c r="C26" s="150" t="s">
        <v>254</v>
      </c>
      <c r="D26" s="150">
        <v>190</v>
      </c>
      <c r="E26" s="224" t="str">
        <f t="shared" si="0"/>
        <v>Excellent</v>
      </c>
      <c r="F26" s="411"/>
      <c r="G26" s="149"/>
      <c r="H26" s="149"/>
      <c r="I26" s="149"/>
      <c r="J26" s="149"/>
      <c r="K26" s="148"/>
    </row>
    <row r="27" spans="1:11" ht="18" x14ac:dyDescent="0.3">
      <c r="A27" s="148"/>
      <c r="B27" s="150">
        <v>25</v>
      </c>
      <c r="C27" s="150" t="s">
        <v>173</v>
      </c>
      <c r="D27" s="150">
        <v>190</v>
      </c>
      <c r="E27" s="224" t="str">
        <f t="shared" si="0"/>
        <v>Excellent</v>
      </c>
      <c r="F27" s="411"/>
      <c r="G27" s="149"/>
      <c r="H27" s="149"/>
      <c r="I27" s="149"/>
      <c r="J27" s="149"/>
      <c r="K27" s="148"/>
    </row>
    <row r="28" spans="1:11" ht="18" x14ac:dyDescent="0.3">
      <c r="A28" s="148"/>
      <c r="B28" s="150">
        <v>26</v>
      </c>
      <c r="C28" s="150" t="s">
        <v>255</v>
      </c>
      <c r="D28" s="150">
        <v>150</v>
      </c>
      <c r="E28" s="224" t="str">
        <f t="shared" si="0"/>
        <v>Good</v>
      </c>
      <c r="F28" s="411"/>
      <c r="G28" s="149"/>
      <c r="H28" s="149"/>
      <c r="I28" s="149"/>
      <c r="J28" s="149"/>
      <c r="K28" s="148"/>
    </row>
    <row r="29" spans="1:11" ht="18" x14ac:dyDescent="0.3">
      <c r="A29" s="148"/>
      <c r="B29" s="150">
        <v>27</v>
      </c>
      <c r="C29" s="150" t="s">
        <v>256</v>
      </c>
      <c r="D29" s="150">
        <v>200</v>
      </c>
      <c r="E29" s="224" t="str">
        <f t="shared" si="0"/>
        <v>Excellent</v>
      </c>
      <c r="F29" s="411"/>
      <c r="G29" s="149"/>
      <c r="H29" s="149"/>
      <c r="I29" s="149"/>
      <c r="J29" s="149"/>
      <c r="K29" s="148"/>
    </row>
    <row r="30" spans="1:11" ht="18" x14ac:dyDescent="0.3">
      <c r="A30" s="148"/>
      <c r="B30" s="150">
        <v>28</v>
      </c>
      <c r="C30" s="150" t="s">
        <v>257</v>
      </c>
      <c r="D30" s="150">
        <v>170</v>
      </c>
      <c r="E30" s="224" t="str">
        <f t="shared" si="0"/>
        <v>Good</v>
      </c>
      <c r="F30" s="411"/>
      <c r="G30" s="149"/>
      <c r="H30" s="149"/>
      <c r="I30" s="149"/>
      <c r="J30" s="149"/>
      <c r="K30" s="148"/>
    </row>
    <row r="31" spans="1:11" ht="18" x14ac:dyDescent="0.3">
      <c r="A31" s="148"/>
      <c r="B31" s="150">
        <v>29</v>
      </c>
      <c r="C31" s="150" t="s">
        <v>258</v>
      </c>
      <c r="D31" s="150">
        <v>180</v>
      </c>
      <c r="E31" s="224" t="str">
        <f t="shared" si="0"/>
        <v>Excellent</v>
      </c>
      <c r="F31" s="411"/>
      <c r="G31" s="149"/>
      <c r="H31" s="149"/>
      <c r="I31" s="149"/>
      <c r="J31" s="149"/>
      <c r="K31" s="148"/>
    </row>
    <row r="32" spans="1:11" ht="18" x14ac:dyDescent="0.3">
      <c r="A32" s="148"/>
      <c r="B32" s="150">
        <v>30</v>
      </c>
      <c r="C32" s="150" t="s">
        <v>259</v>
      </c>
      <c r="D32" s="150">
        <v>190</v>
      </c>
      <c r="E32" s="224" t="str">
        <f t="shared" si="0"/>
        <v>Excellent</v>
      </c>
      <c r="F32" s="411"/>
      <c r="G32" s="149"/>
      <c r="H32" s="149"/>
      <c r="I32" s="149"/>
      <c r="J32" s="149"/>
      <c r="K32" s="148"/>
    </row>
    <row r="33" spans="1:11" ht="18" x14ac:dyDescent="0.3">
      <c r="A33" s="148"/>
      <c r="B33" s="150">
        <v>31</v>
      </c>
      <c r="C33" s="150" t="s">
        <v>260</v>
      </c>
      <c r="D33" s="150">
        <v>160</v>
      </c>
      <c r="E33" s="224" t="str">
        <f t="shared" si="0"/>
        <v>Good</v>
      </c>
      <c r="F33" s="411"/>
      <c r="G33" s="149"/>
      <c r="H33" s="149"/>
      <c r="I33" s="149"/>
      <c r="J33" s="149"/>
      <c r="K33" s="148"/>
    </row>
    <row r="34" spans="1:11" ht="18" x14ac:dyDescent="0.3">
      <c r="A34" s="148"/>
      <c r="B34" s="150">
        <v>32</v>
      </c>
      <c r="C34" s="150" t="s">
        <v>261</v>
      </c>
      <c r="D34" s="150">
        <v>100</v>
      </c>
      <c r="E34" s="224" t="str">
        <f t="shared" si="0"/>
        <v>Good</v>
      </c>
      <c r="F34" s="411"/>
      <c r="G34" s="149"/>
      <c r="H34" s="149"/>
      <c r="I34" s="149"/>
      <c r="J34" s="149"/>
      <c r="K34" s="148"/>
    </row>
    <row r="35" spans="1:11" ht="18" x14ac:dyDescent="0.3">
      <c r="A35" s="148"/>
      <c r="B35" s="150">
        <v>33</v>
      </c>
      <c r="C35" s="150" t="s">
        <v>262</v>
      </c>
      <c r="D35" s="150">
        <v>140</v>
      </c>
      <c r="E35" s="224" t="str">
        <f t="shared" si="0"/>
        <v>Good</v>
      </c>
      <c r="F35" s="411"/>
      <c r="G35" s="149"/>
      <c r="H35" s="149"/>
      <c r="I35" s="149"/>
      <c r="J35" s="149"/>
      <c r="K35" s="148"/>
    </row>
    <row r="36" spans="1:11" ht="18" x14ac:dyDescent="0.3">
      <c r="A36" s="148"/>
      <c r="B36" s="148"/>
      <c r="C36" s="148"/>
      <c r="D36" s="148"/>
      <c r="E36" s="154"/>
      <c r="F36" s="155"/>
      <c r="H36" s="149"/>
      <c r="I36" s="149"/>
      <c r="J36" s="149"/>
      <c r="K36" s="148"/>
    </row>
    <row r="37" spans="1:11" ht="18" x14ac:dyDescent="0.3">
      <c r="A37" s="148"/>
      <c r="B37" s="148"/>
      <c r="C37" s="148"/>
      <c r="D37" s="148"/>
      <c r="E37" s="154"/>
      <c r="F37" s="155"/>
      <c r="H37" s="149"/>
      <c r="I37" s="149"/>
      <c r="J37" s="149"/>
      <c r="K37" s="148"/>
    </row>
    <row r="38" spans="1:11" ht="25.2" x14ac:dyDescent="0.3">
      <c r="A38" s="148"/>
      <c r="B38" s="149"/>
      <c r="C38" s="149"/>
      <c r="D38" s="149"/>
      <c r="E38" s="154"/>
      <c r="F38" s="245" t="s">
        <v>263</v>
      </c>
      <c r="G38" s="150"/>
      <c r="H38" s="149"/>
      <c r="I38" s="149"/>
      <c r="J38" s="149"/>
      <c r="K38" s="148"/>
    </row>
    <row r="39" spans="1:11" ht="25.2" x14ac:dyDescent="0.3">
      <c r="A39" s="148"/>
      <c r="B39" s="172" t="s">
        <v>65</v>
      </c>
      <c r="C39" s="173" t="s">
        <v>66</v>
      </c>
      <c r="D39" s="173" t="s">
        <v>67</v>
      </c>
      <c r="E39" s="173" t="s">
        <v>68</v>
      </c>
      <c r="F39" s="245" t="s">
        <v>264</v>
      </c>
      <c r="G39" s="148"/>
      <c r="H39" s="148"/>
      <c r="I39" s="148"/>
      <c r="J39" s="148"/>
      <c r="K39" s="148"/>
    </row>
    <row r="40" spans="1:11" ht="31.2" x14ac:dyDescent="0.45">
      <c r="B40" s="226" t="s">
        <v>70</v>
      </c>
      <c r="C40" s="227">
        <v>5000</v>
      </c>
      <c r="D40" s="228">
        <v>46030</v>
      </c>
      <c r="E40" s="240" t="s">
        <v>71</v>
      </c>
      <c r="F40" s="244">
        <f ca="1">SUMIF(E40:E59, "South", C40:C54)</f>
        <v>110000</v>
      </c>
    </row>
    <row r="41" spans="1:11" ht="31.2" x14ac:dyDescent="0.45">
      <c r="B41" s="226" t="s">
        <v>72</v>
      </c>
      <c r="C41" s="227">
        <v>6000</v>
      </c>
      <c r="D41" s="228">
        <v>46028</v>
      </c>
      <c r="E41" s="240" t="s">
        <v>73</v>
      </c>
      <c r="F41" s="244"/>
    </row>
    <row r="42" spans="1:11" ht="22.8" x14ac:dyDescent="0.45">
      <c r="B42" s="226" t="s">
        <v>75</v>
      </c>
      <c r="C42" s="227">
        <v>7000</v>
      </c>
      <c r="D42" s="228">
        <v>46039</v>
      </c>
      <c r="E42" s="240" t="s">
        <v>73</v>
      </c>
      <c r="F42" s="244">
        <f ca="1">SUMIF(Table2[Regions], "West", C40:C54)</f>
        <v>150000</v>
      </c>
    </row>
    <row r="43" spans="1:11" ht="31.2" x14ac:dyDescent="0.45">
      <c r="B43" s="226" t="s">
        <v>76</v>
      </c>
      <c r="C43" s="227">
        <v>8000</v>
      </c>
      <c r="D43" s="228">
        <v>46032</v>
      </c>
      <c r="E43" s="240" t="s">
        <v>73</v>
      </c>
      <c r="F43" s="244"/>
    </row>
    <row r="44" spans="1:11" ht="31.2" x14ac:dyDescent="0.45">
      <c r="B44" s="226" t="s">
        <v>77</v>
      </c>
      <c r="C44" s="227">
        <v>9000</v>
      </c>
      <c r="D44" s="228">
        <v>46028</v>
      </c>
      <c r="E44" s="240" t="s">
        <v>78</v>
      </c>
      <c r="F44" s="244">
        <f>AVERAGEIF(Table2[Items], "Beverages", Table2[Prices])</f>
        <v>36000</v>
      </c>
    </row>
    <row r="45" spans="1:11" ht="31.2" x14ac:dyDescent="0.45">
      <c r="B45" s="226" t="s">
        <v>80</v>
      </c>
      <c r="C45" s="227">
        <v>10000</v>
      </c>
      <c r="D45" s="228">
        <v>46023</v>
      </c>
      <c r="E45" s="240" t="s">
        <v>81</v>
      </c>
      <c r="F45" s="244"/>
    </row>
    <row r="46" spans="1:11" ht="22.8" x14ac:dyDescent="0.45">
      <c r="B46" s="226" t="s">
        <v>75</v>
      </c>
      <c r="C46" s="227">
        <v>10000</v>
      </c>
      <c r="D46" s="228">
        <v>46044</v>
      </c>
      <c r="E46" s="240" t="s">
        <v>71</v>
      </c>
      <c r="F46" s="244"/>
    </row>
    <row r="47" spans="1:11" ht="22.8" x14ac:dyDescent="0.45">
      <c r="B47" s="226" t="s">
        <v>83</v>
      </c>
      <c r="C47" s="227">
        <v>15000</v>
      </c>
      <c r="D47" s="228">
        <v>46025</v>
      </c>
      <c r="E47" s="240" t="s">
        <v>81</v>
      </c>
      <c r="F47" s="244">
        <f>AVERAGEIF(Table2[Items], "Wrist Watch", Table2[Prices])</f>
        <v>52500</v>
      </c>
    </row>
    <row r="48" spans="1:11" ht="23.4" x14ac:dyDescent="0.45">
      <c r="B48" s="226" t="s">
        <v>84</v>
      </c>
      <c r="C48" s="227">
        <v>18000</v>
      </c>
      <c r="D48" s="228">
        <v>46041</v>
      </c>
      <c r="E48" s="240" t="s">
        <v>81</v>
      </c>
      <c r="F48" s="243"/>
    </row>
    <row r="49" spans="2:6" ht="31.2" x14ac:dyDescent="0.45">
      <c r="B49" s="226" t="s">
        <v>85</v>
      </c>
      <c r="C49" s="227">
        <v>25000</v>
      </c>
      <c r="D49" s="228">
        <v>46042</v>
      </c>
      <c r="E49" s="240" t="s">
        <v>78</v>
      </c>
      <c r="F49" s="243"/>
    </row>
    <row r="50" spans="2:6" ht="23.4" x14ac:dyDescent="0.45">
      <c r="B50" s="226" t="s">
        <v>86</v>
      </c>
      <c r="C50" s="227">
        <v>25000</v>
      </c>
      <c r="D50" s="228">
        <v>46032</v>
      </c>
      <c r="E50" s="240" t="s">
        <v>81</v>
      </c>
      <c r="F50" s="243"/>
    </row>
    <row r="51" spans="2:6" ht="31.2" x14ac:dyDescent="0.45">
      <c r="B51" s="226" t="s">
        <v>88</v>
      </c>
      <c r="C51" s="227">
        <v>30000</v>
      </c>
      <c r="D51" s="228">
        <v>46037</v>
      </c>
      <c r="E51" s="240" t="s">
        <v>71</v>
      </c>
      <c r="F51" s="243"/>
    </row>
    <row r="52" spans="2:6" ht="23.4" x14ac:dyDescent="0.45">
      <c r="B52" s="226" t="s">
        <v>89</v>
      </c>
      <c r="C52" s="227">
        <v>30000</v>
      </c>
      <c r="D52" s="228">
        <v>46035</v>
      </c>
      <c r="E52" s="240" t="s">
        <v>71</v>
      </c>
      <c r="F52" s="243"/>
    </row>
    <row r="53" spans="2:6" ht="31.2" x14ac:dyDescent="0.45">
      <c r="B53" s="226" t="s">
        <v>90</v>
      </c>
      <c r="C53" s="227">
        <v>35000</v>
      </c>
      <c r="D53" s="228">
        <v>46035</v>
      </c>
      <c r="E53" s="240" t="s">
        <v>71</v>
      </c>
      <c r="F53" s="243"/>
    </row>
    <row r="54" spans="2:6" ht="23.4" x14ac:dyDescent="0.45">
      <c r="B54" s="226" t="s">
        <v>91</v>
      </c>
      <c r="C54" s="229">
        <v>36000</v>
      </c>
      <c r="D54" s="228">
        <v>46033</v>
      </c>
      <c r="E54" s="240" t="s">
        <v>78</v>
      </c>
      <c r="F54" s="243"/>
    </row>
    <row r="55" spans="2:6" ht="24" thickBot="1" x14ac:dyDescent="0.5">
      <c r="B55" s="230" t="s">
        <v>93</v>
      </c>
      <c r="C55" s="231"/>
      <c r="D55" s="232">
        <v>46034</v>
      </c>
      <c r="E55" s="240" t="s">
        <v>78</v>
      </c>
      <c r="F55" s="243"/>
    </row>
    <row r="56" spans="2:6" ht="31.2" x14ac:dyDescent="0.45">
      <c r="B56" s="226" t="s">
        <v>70</v>
      </c>
      <c r="C56" s="233">
        <v>45000</v>
      </c>
      <c r="D56" s="228">
        <v>46029</v>
      </c>
      <c r="E56" s="240" t="s">
        <v>73</v>
      </c>
      <c r="F56" s="243"/>
    </row>
    <row r="57" spans="2:6" ht="31.2" x14ac:dyDescent="0.45">
      <c r="B57" s="226" t="s">
        <v>77</v>
      </c>
      <c r="C57" s="229">
        <v>50000</v>
      </c>
      <c r="D57" s="234">
        <v>46044</v>
      </c>
      <c r="E57" s="241" t="s">
        <v>81</v>
      </c>
      <c r="F57" s="243"/>
    </row>
    <row r="58" spans="2:6" ht="24" thickBot="1" x14ac:dyDescent="0.5">
      <c r="B58" s="230" t="s">
        <v>84</v>
      </c>
      <c r="C58" s="185" t="s">
        <v>96</v>
      </c>
      <c r="D58" s="235">
        <v>46026</v>
      </c>
      <c r="E58" s="242" t="s">
        <v>78</v>
      </c>
      <c r="F58" s="243"/>
    </row>
    <row r="59" spans="2:6" ht="23.4" x14ac:dyDescent="0.45">
      <c r="B59" s="226" t="s">
        <v>86</v>
      </c>
      <c r="C59" s="233">
        <v>80000</v>
      </c>
      <c r="D59" s="236">
        <v>46027</v>
      </c>
      <c r="E59" s="242" t="s">
        <v>78</v>
      </c>
      <c r="F59" s="243"/>
    </row>
    <row r="60" spans="2:6" ht="23.4" x14ac:dyDescent="0.45">
      <c r="B60" s="237" t="s">
        <v>271</v>
      </c>
      <c r="C60" s="239">
        <f>SUBTOTAL(109,Table2[Prices])</f>
        <v>444000</v>
      </c>
      <c r="D60" s="238"/>
      <c r="F60" s="243"/>
    </row>
  </sheetData>
  <mergeCells count="7">
    <mergeCell ref="F22:F35"/>
    <mergeCell ref="F3:F21"/>
    <mergeCell ref="H3:H5"/>
    <mergeCell ref="J3:J13"/>
    <mergeCell ref="H7:H9"/>
    <mergeCell ref="H11:H13"/>
    <mergeCell ref="H14:I1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863C-0132-4EEB-B842-2E5D6FA4123C}">
  <dimension ref="A1:N24"/>
  <sheetViews>
    <sheetView topLeftCell="A2" zoomScale="46" zoomScaleNormal="110" workbookViewId="0">
      <selection activeCell="H3" sqref="H3"/>
    </sheetView>
  </sheetViews>
  <sheetFormatPr defaultColWidth="49.77734375" defaultRowHeight="15.6" x14ac:dyDescent="0.3"/>
  <cols>
    <col min="1" max="1" width="15.88671875" style="246" bestFit="1" customWidth="1"/>
    <col min="2" max="2" width="13.109375" style="246" bestFit="1" customWidth="1"/>
    <col min="3" max="3" width="16.77734375" style="246" bestFit="1" customWidth="1"/>
    <col min="4" max="4" width="17.33203125" style="246" bestFit="1" customWidth="1"/>
    <col min="5" max="5" width="14.33203125" style="246" bestFit="1" customWidth="1"/>
    <col min="6" max="6" width="15.5546875" style="246" bestFit="1" customWidth="1"/>
    <col min="7" max="7" width="18.109375" style="246" bestFit="1" customWidth="1"/>
    <col min="8" max="8" width="16.21875" style="246" customWidth="1"/>
    <col min="9" max="9" width="13.5546875" style="246" customWidth="1"/>
    <col min="10" max="10" width="49" style="246" bestFit="1" customWidth="1"/>
    <col min="11" max="11" width="47.88671875" style="246" bestFit="1" customWidth="1"/>
    <col min="12" max="12" width="47.88671875" style="246" customWidth="1"/>
    <col min="13" max="13" width="9.77734375" style="246" bestFit="1" customWidth="1"/>
    <col min="14" max="16384" width="49.77734375" style="246"/>
  </cols>
  <sheetData>
    <row r="1" spans="2:14" ht="45" customHeight="1" x14ac:dyDescent="0.3">
      <c r="G1" s="247" t="s">
        <v>272</v>
      </c>
      <c r="H1" s="247" t="s">
        <v>273</v>
      </c>
    </row>
    <row r="2" spans="2:14" ht="45" customHeight="1" x14ac:dyDescent="0.3">
      <c r="B2" s="37" t="s">
        <v>101</v>
      </c>
      <c r="C2" s="37" t="s">
        <v>102</v>
      </c>
      <c r="D2" s="37" t="s">
        <v>103</v>
      </c>
      <c r="E2" s="37" t="s">
        <v>104</v>
      </c>
      <c r="F2" s="37" t="s">
        <v>105</v>
      </c>
    </row>
    <row r="3" spans="2:14" ht="45" customHeight="1" x14ac:dyDescent="0.3">
      <c r="B3" s="38">
        <v>1</v>
      </c>
      <c r="C3" s="38" t="s">
        <v>33</v>
      </c>
      <c r="D3" s="39">
        <v>10</v>
      </c>
      <c r="E3" s="39">
        <v>100</v>
      </c>
      <c r="F3" s="39">
        <v>90</v>
      </c>
    </row>
    <row r="4" spans="2:14" ht="45" customHeight="1" x14ac:dyDescent="0.3">
      <c r="B4" s="38">
        <v>2</v>
      </c>
      <c r="C4" s="38" t="s">
        <v>35</v>
      </c>
      <c r="D4" s="39">
        <v>20</v>
      </c>
      <c r="E4" s="39">
        <v>60</v>
      </c>
      <c r="F4" s="39">
        <v>70</v>
      </c>
    </row>
    <row r="5" spans="2:14" ht="45" customHeight="1" x14ac:dyDescent="0.3">
      <c r="B5" s="38">
        <v>3</v>
      </c>
      <c r="C5" s="38" t="s">
        <v>36</v>
      </c>
      <c r="D5" s="39">
        <v>30</v>
      </c>
      <c r="E5" s="39">
        <v>80</v>
      </c>
      <c r="F5" s="39">
        <v>50</v>
      </c>
      <c r="H5" s="248"/>
      <c r="I5" s="248"/>
      <c r="J5" s="249" t="s">
        <v>274</v>
      </c>
      <c r="K5" s="249" t="s">
        <v>275</v>
      </c>
      <c r="L5" s="249" t="s">
        <v>276</v>
      </c>
      <c r="M5" s="249" t="s">
        <v>239</v>
      </c>
    </row>
    <row r="6" spans="2:14" ht="45" customHeight="1" x14ac:dyDescent="0.3">
      <c r="B6" s="38">
        <v>4</v>
      </c>
      <c r="C6" s="38" t="s">
        <v>37</v>
      </c>
      <c r="D6" s="39">
        <v>80</v>
      </c>
      <c r="E6" s="39">
        <v>71</v>
      </c>
      <c r="F6" s="39">
        <v>90</v>
      </c>
      <c r="H6" s="368" t="s">
        <v>277</v>
      </c>
      <c r="I6" s="368"/>
      <c r="J6" s="248" t="b">
        <v>1</v>
      </c>
      <c r="K6" s="248" t="b">
        <v>1</v>
      </c>
      <c r="L6" s="248" t="b">
        <v>1</v>
      </c>
      <c r="M6" s="248" t="b">
        <v>1</v>
      </c>
    </row>
    <row r="7" spans="2:14" ht="45" customHeight="1" x14ac:dyDescent="0.3">
      <c r="B7" s="38">
        <v>5</v>
      </c>
      <c r="C7" s="38" t="s">
        <v>38</v>
      </c>
      <c r="D7" s="39">
        <v>50</v>
      </c>
      <c r="E7" s="39">
        <v>60</v>
      </c>
      <c r="F7" s="39">
        <v>40</v>
      </c>
      <c r="H7" s="368"/>
      <c r="I7" s="368"/>
      <c r="J7" s="248" t="b">
        <v>0</v>
      </c>
      <c r="K7" s="248" t="b">
        <v>1</v>
      </c>
      <c r="L7" s="248" t="b">
        <v>1</v>
      </c>
      <c r="M7" s="248" t="b">
        <v>1</v>
      </c>
    </row>
    <row r="8" spans="2:14" ht="45" customHeight="1" x14ac:dyDescent="0.3">
      <c r="B8" s="38">
        <v>6</v>
      </c>
      <c r="C8" s="38" t="s">
        <v>39</v>
      </c>
      <c r="D8" s="39">
        <v>60</v>
      </c>
      <c r="E8" s="39">
        <v>50</v>
      </c>
      <c r="F8" s="39">
        <v>80</v>
      </c>
      <c r="H8" s="368"/>
      <c r="I8" s="368"/>
      <c r="J8" s="248" t="b">
        <v>1</v>
      </c>
      <c r="K8" s="248" t="b">
        <v>0</v>
      </c>
      <c r="L8" s="248" t="b">
        <v>0</v>
      </c>
      <c r="M8" s="248" t="b">
        <v>1</v>
      </c>
    </row>
    <row r="9" spans="2:14" ht="45" customHeight="1" x14ac:dyDescent="0.3">
      <c r="B9" s="38">
        <v>7</v>
      </c>
      <c r="C9" s="38" t="s">
        <v>40</v>
      </c>
      <c r="D9" s="39">
        <v>70</v>
      </c>
      <c r="E9" s="39">
        <v>40</v>
      </c>
      <c r="F9" s="39">
        <v>100</v>
      </c>
      <c r="H9" s="368"/>
      <c r="I9" s="368"/>
      <c r="J9" s="248" t="b">
        <v>0</v>
      </c>
      <c r="K9" s="248" t="b">
        <v>0</v>
      </c>
      <c r="L9" s="248" t="b">
        <v>0</v>
      </c>
      <c r="M9" s="248" t="b">
        <v>0</v>
      </c>
    </row>
    <row r="10" spans="2:14" ht="45" customHeight="1" x14ac:dyDescent="0.3">
      <c r="B10" s="38">
        <v>8</v>
      </c>
      <c r="C10" s="38" t="s">
        <v>41</v>
      </c>
      <c r="D10" s="39">
        <v>80</v>
      </c>
      <c r="E10" s="39">
        <v>80</v>
      </c>
      <c r="F10" s="39">
        <v>75</v>
      </c>
      <c r="H10" s="250"/>
      <c r="I10" s="250"/>
      <c r="J10" s="250"/>
      <c r="K10" s="250"/>
      <c r="L10" s="250"/>
      <c r="M10" s="250"/>
    </row>
    <row r="11" spans="2:14" ht="45" customHeight="1" x14ac:dyDescent="0.3">
      <c r="B11" s="38">
        <v>9</v>
      </c>
      <c r="C11" s="38" t="s">
        <v>42</v>
      </c>
      <c r="D11" s="39">
        <v>90</v>
      </c>
      <c r="E11" s="39">
        <v>90</v>
      </c>
      <c r="F11" s="39">
        <v>35</v>
      </c>
      <c r="H11" s="369" t="s">
        <v>278</v>
      </c>
      <c r="I11" s="369"/>
      <c r="J11" s="251" t="b">
        <v>1</v>
      </c>
      <c r="K11" s="251" t="b">
        <v>1</v>
      </c>
      <c r="L11" s="251" t="b">
        <v>1</v>
      </c>
      <c r="M11" s="251" t="b">
        <v>1</v>
      </c>
    </row>
    <row r="12" spans="2:14" ht="45" customHeight="1" x14ac:dyDescent="0.3">
      <c r="B12" s="38">
        <v>10</v>
      </c>
      <c r="C12" s="38" t="s">
        <v>43</v>
      </c>
      <c r="D12" s="39">
        <v>100</v>
      </c>
      <c r="E12" s="39">
        <v>20</v>
      </c>
      <c r="F12" s="39">
        <v>90</v>
      </c>
      <c r="H12" s="369"/>
      <c r="I12" s="369"/>
      <c r="J12" s="251" t="b">
        <v>0</v>
      </c>
      <c r="K12" s="251" t="b">
        <v>1</v>
      </c>
      <c r="L12" s="251" t="b">
        <v>0</v>
      </c>
      <c r="M12" s="251" t="b">
        <v>0</v>
      </c>
    </row>
    <row r="13" spans="2:14" ht="45" customHeight="1" x14ac:dyDescent="0.3">
      <c r="B13" s="38">
        <v>11</v>
      </c>
      <c r="C13" s="38" t="s">
        <v>44</v>
      </c>
      <c r="D13" s="39">
        <v>67</v>
      </c>
      <c r="E13" s="39">
        <v>30</v>
      </c>
      <c r="F13" s="39">
        <v>25</v>
      </c>
      <c r="H13" s="369"/>
      <c r="I13" s="369"/>
      <c r="J13" s="251" t="b">
        <v>1</v>
      </c>
      <c r="K13" s="251" t="b">
        <v>0</v>
      </c>
      <c r="L13" s="251" t="b">
        <v>0</v>
      </c>
      <c r="M13" s="251" t="b">
        <v>0</v>
      </c>
    </row>
    <row r="14" spans="2:14" ht="45" customHeight="1" x14ac:dyDescent="0.3">
      <c r="B14" s="38">
        <v>12</v>
      </c>
      <c r="C14" s="38" t="s">
        <v>45</v>
      </c>
      <c r="D14" s="39">
        <v>80</v>
      </c>
      <c r="E14" s="39">
        <v>50</v>
      </c>
      <c r="F14" s="39">
        <v>85</v>
      </c>
      <c r="H14" s="369"/>
      <c r="I14" s="369"/>
      <c r="J14" s="251" t="b">
        <v>0</v>
      </c>
      <c r="K14" s="251" t="b">
        <v>0</v>
      </c>
      <c r="L14" s="251" t="b">
        <v>0</v>
      </c>
      <c r="M14" s="251" t="b">
        <v>0</v>
      </c>
    </row>
    <row r="15" spans="2:14" ht="45" customHeight="1" x14ac:dyDescent="0.3">
      <c r="B15" s="38">
        <v>13</v>
      </c>
      <c r="C15" s="38" t="s">
        <v>46</v>
      </c>
      <c r="D15" s="39">
        <v>90</v>
      </c>
      <c r="E15" s="39">
        <v>100</v>
      </c>
      <c r="F15" s="39">
        <v>50</v>
      </c>
    </row>
    <row r="16" spans="2:14" ht="45" customHeight="1" x14ac:dyDescent="0.3">
      <c r="B16" s="38">
        <v>14</v>
      </c>
      <c r="C16" s="38" t="s">
        <v>34</v>
      </c>
      <c r="D16" s="39">
        <v>40</v>
      </c>
      <c r="E16" s="39">
        <v>70</v>
      </c>
      <c r="F16" s="39">
        <v>60</v>
      </c>
      <c r="H16" s="370" t="s">
        <v>279</v>
      </c>
      <c r="I16" s="370"/>
      <c r="J16" s="252" t="b">
        <v>1</v>
      </c>
      <c r="K16" s="252" t="b">
        <v>0</v>
      </c>
      <c r="L16" s="252" t="b">
        <v>1</v>
      </c>
      <c r="M16" s="252" t="b">
        <v>0</v>
      </c>
      <c r="N16" s="253"/>
    </row>
    <row r="17" spans="1:14" ht="45" customHeight="1" x14ac:dyDescent="0.3">
      <c r="B17" s="254"/>
      <c r="C17" s="254"/>
      <c r="D17" s="255"/>
      <c r="E17" s="256"/>
      <c r="H17" s="370"/>
      <c r="I17" s="370"/>
      <c r="J17" s="252" t="b">
        <v>0</v>
      </c>
      <c r="K17" s="252" t="b">
        <v>1</v>
      </c>
      <c r="L17" s="252" t="b">
        <v>0</v>
      </c>
      <c r="M17" s="252" t="b">
        <v>1</v>
      </c>
      <c r="N17" s="253"/>
    </row>
    <row r="18" spans="1:14" ht="45" customHeight="1" x14ac:dyDescent="0.3">
      <c r="A18" s="371" t="s">
        <v>280</v>
      </c>
      <c r="B18" s="258" t="s">
        <v>281</v>
      </c>
      <c r="C18" s="258" t="b">
        <f>OR(D3&gt;60,E3&gt;60,F3&gt;60)</f>
        <v>1</v>
      </c>
      <c r="D18" s="372" t="s">
        <v>282</v>
      </c>
      <c r="E18" s="260" t="b">
        <f>AND(D3&gt;70,E3&gt;70)</f>
        <v>0</v>
      </c>
      <c r="F18" s="261" t="s">
        <v>283</v>
      </c>
      <c r="H18" s="370"/>
      <c r="I18" s="370"/>
      <c r="J18" s="252" t="b">
        <v>1</v>
      </c>
      <c r="K18" s="252" t="b">
        <v>1</v>
      </c>
      <c r="L18" s="252" t="b">
        <v>1</v>
      </c>
      <c r="M18" s="252" t="b">
        <v>1</v>
      </c>
      <c r="N18" s="253"/>
    </row>
    <row r="19" spans="1:14" ht="45" customHeight="1" x14ac:dyDescent="0.3">
      <c r="A19" s="371"/>
      <c r="B19" s="257" t="s">
        <v>284</v>
      </c>
      <c r="C19" s="258" t="b">
        <f>OR(D4&gt;60,E4&gt;60,F4&gt;60)</f>
        <v>1</v>
      </c>
      <c r="D19" s="373"/>
      <c r="E19" s="260" t="b">
        <f>AND(D4&gt;70,E4&gt;70)</f>
        <v>0</v>
      </c>
      <c r="F19" s="259" t="s">
        <v>285</v>
      </c>
      <c r="H19" s="370"/>
      <c r="I19" s="370"/>
      <c r="J19" s="262" t="s">
        <v>286</v>
      </c>
      <c r="K19" s="262" t="s">
        <v>287</v>
      </c>
      <c r="L19" s="262"/>
      <c r="M19" s="252"/>
      <c r="N19" s="253"/>
    </row>
    <row r="20" spans="1:14" ht="45" customHeight="1" x14ac:dyDescent="0.3">
      <c r="B20" s="254"/>
      <c r="C20" s="263"/>
      <c r="D20" s="264"/>
      <c r="E20" s="265"/>
      <c r="F20" s="266"/>
    </row>
    <row r="21" spans="1:14" ht="45" customHeight="1" x14ac:dyDescent="0.3">
      <c r="B21" s="254"/>
      <c r="C21" s="254"/>
      <c r="D21" s="267"/>
      <c r="E21" s="268"/>
    </row>
    <row r="22" spans="1:14" ht="45" customHeight="1" x14ac:dyDescent="0.3">
      <c r="B22" s="254"/>
      <c r="C22" s="254"/>
      <c r="D22" s="255"/>
      <c r="E22" s="256"/>
      <c r="H22" s="269" t="s">
        <v>288</v>
      </c>
    </row>
    <row r="23" spans="1:14" ht="45" customHeight="1" x14ac:dyDescent="0.3">
      <c r="H23" s="270" t="s">
        <v>289</v>
      </c>
      <c r="I23" s="270" t="s">
        <v>289</v>
      </c>
    </row>
    <row r="24" spans="1:14" x14ac:dyDescent="0.3">
      <c r="I24" s="250"/>
    </row>
  </sheetData>
  <mergeCells count="5">
    <mergeCell ref="H6:I9"/>
    <mergeCell ref="H11:I14"/>
    <mergeCell ref="H16:I19"/>
    <mergeCell ref="A18:A19"/>
    <mergeCell ref="D18:D19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964E-F1A4-4B62-8BAF-3E9ED9C929F8}">
  <dimension ref="B2:K21"/>
  <sheetViews>
    <sheetView topLeftCell="F1" zoomScale="57" zoomScaleNormal="80" workbookViewId="0">
      <selection activeCell="H4" sqref="H4"/>
    </sheetView>
  </sheetViews>
  <sheetFormatPr defaultColWidth="22.44140625" defaultRowHeight="21" x14ac:dyDescent="0.3"/>
  <cols>
    <col min="1" max="1" width="22.44140625" style="337"/>
    <col min="2" max="2" width="11.5546875" style="337" customWidth="1"/>
    <col min="3" max="3" width="22.44140625" style="337"/>
    <col min="4" max="4" width="13.21875" style="337" customWidth="1"/>
    <col min="5" max="5" width="18.77734375" style="337" customWidth="1"/>
    <col min="6" max="6" width="20.33203125" style="337" customWidth="1"/>
    <col min="7" max="7" width="22.44140625" style="337"/>
    <col min="8" max="8" width="42.5546875" style="337" customWidth="1"/>
    <col min="9" max="9" width="22.44140625" style="337"/>
    <col min="10" max="10" width="30.44140625" style="337" customWidth="1"/>
    <col min="11" max="16384" width="22.44140625" style="337"/>
  </cols>
  <sheetData>
    <row r="2" spans="2:11" ht="42" x14ac:dyDescent="0.3">
      <c r="B2" s="334" t="s">
        <v>101</v>
      </c>
      <c r="C2" s="334" t="s">
        <v>102</v>
      </c>
      <c r="D2" s="334" t="s">
        <v>103</v>
      </c>
      <c r="E2" s="334" t="s">
        <v>104</v>
      </c>
      <c r="F2" s="334" t="s">
        <v>105</v>
      </c>
      <c r="G2" s="337" t="b">
        <f>_xlfn.XOR(D5&gt;=50, E5&gt;=50, F5&gt;=50)</f>
        <v>0</v>
      </c>
    </row>
    <row r="3" spans="2:11" x14ac:dyDescent="0.3">
      <c r="B3" s="356">
        <v>1</v>
      </c>
      <c r="C3" s="356" t="s">
        <v>33</v>
      </c>
      <c r="D3" s="357">
        <v>10</v>
      </c>
      <c r="E3" s="357">
        <v>60</v>
      </c>
      <c r="F3" s="357">
        <v>49</v>
      </c>
    </row>
    <row r="4" spans="2:11" x14ac:dyDescent="0.3">
      <c r="B4" s="356">
        <v>2</v>
      </c>
      <c r="C4" s="356" t="s">
        <v>35</v>
      </c>
      <c r="D4" s="357">
        <v>20</v>
      </c>
      <c r="E4" s="357">
        <v>90</v>
      </c>
      <c r="F4" s="357">
        <v>70</v>
      </c>
    </row>
    <row r="5" spans="2:11" ht="75" customHeight="1" x14ac:dyDescent="0.3">
      <c r="B5" s="356">
        <v>3</v>
      </c>
      <c r="C5" s="356" t="s">
        <v>36</v>
      </c>
      <c r="D5" s="357">
        <v>30</v>
      </c>
      <c r="E5" s="357">
        <v>40</v>
      </c>
      <c r="F5" s="357">
        <v>20</v>
      </c>
      <c r="H5" s="334" t="s">
        <v>319</v>
      </c>
      <c r="I5" s="338" t="s">
        <v>290</v>
      </c>
      <c r="J5" s="334" t="s">
        <v>291</v>
      </c>
      <c r="K5" s="364" t="s">
        <v>291</v>
      </c>
    </row>
    <row r="6" spans="2:11" x14ac:dyDescent="0.3">
      <c r="B6" s="358">
        <v>4</v>
      </c>
      <c r="C6" s="358" t="s">
        <v>37</v>
      </c>
      <c r="D6" s="359">
        <v>60</v>
      </c>
      <c r="E6" s="359">
        <v>70</v>
      </c>
      <c r="F6" s="359">
        <v>35</v>
      </c>
      <c r="G6" s="420" t="s">
        <v>292</v>
      </c>
      <c r="H6" s="339" t="b">
        <f>OR(D6&gt;=50,E6&gt;=50,F6&gt;=50)</f>
        <v>1</v>
      </c>
      <c r="I6" s="336" t="s">
        <v>33</v>
      </c>
      <c r="J6" s="340" t="b">
        <f>OR(D3&gt;=50,E3&gt;=50,F3&gt;=50)</f>
        <v>1</v>
      </c>
      <c r="K6" s="365" t="str">
        <f>IF(OR(D3&gt;=50,E3&gt;=50,F3&gt;=50),"PASSED","FAILED")</f>
        <v>PASSED</v>
      </c>
    </row>
    <row r="7" spans="2:11" x14ac:dyDescent="0.3">
      <c r="B7" s="358">
        <v>5</v>
      </c>
      <c r="C7" s="358" t="s">
        <v>38</v>
      </c>
      <c r="D7" s="359">
        <v>30</v>
      </c>
      <c r="E7" s="359">
        <v>25</v>
      </c>
      <c r="F7" s="359">
        <v>40</v>
      </c>
      <c r="G7" s="420"/>
      <c r="H7" s="339" t="b">
        <f t="shared" ref="H7:H8" si="0">OR(D7&gt;=50,E7&gt;=50,F7&gt;=50)</f>
        <v>0</v>
      </c>
      <c r="I7" s="336" t="s">
        <v>35</v>
      </c>
      <c r="J7" s="340" t="b">
        <f t="shared" ref="J7:J8" si="1">OR(D4&gt;=50,E4&gt;=50,F4&gt;=50)</f>
        <v>1</v>
      </c>
      <c r="K7" s="365" t="str">
        <f t="shared" ref="K7:K8" si="2">IF(OR(D4&gt;=50,E4&gt;=50,F4&gt;=50),"PASSED","FAILED")</f>
        <v>PASSED</v>
      </c>
    </row>
    <row r="8" spans="2:11" x14ac:dyDescent="0.3">
      <c r="B8" s="358">
        <v>6</v>
      </c>
      <c r="C8" s="358" t="s">
        <v>39</v>
      </c>
      <c r="D8" s="359">
        <v>60</v>
      </c>
      <c r="E8" s="359">
        <v>50</v>
      </c>
      <c r="F8" s="359">
        <v>80</v>
      </c>
      <c r="G8" s="420"/>
      <c r="H8" s="339" t="b">
        <f t="shared" si="0"/>
        <v>1</v>
      </c>
      <c r="I8" s="336" t="s">
        <v>36</v>
      </c>
      <c r="J8" s="340" t="b">
        <f t="shared" si="1"/>
        <v>0</v>
      </c>
      <c r="K8" s="365" t="str">
        <f t="shared" si="2"/>
        <v>FAILED</v>
      </c>
    </row>
    <row r="9" spans="2:11" x14ac:dyDescent="0.3">
      <c r="B9" s="360">
        <v>7</v>
      </c>
      <c r="C9" s="360" t="s">
        <v>40</v>
      </c>
      <c r="D9" s="361">
        <v>70</v>
      </c>
      <c r="E9" s="361">
        <v>40</v>
      </c>
      <c r="F9" s="361">
        <v>100</v>
      </c>
      <c r="H9" s="339"/>
      <c r="K9" s="341"/>
    </row>
    <row r="10" spans="2:11" x14ac:dyDescent="0.3">
      <c r="B10" s="360">
        <v>8</v>
      </c>
      <c r="C10" s="360" t="s">
        <v>41</v>
      </c>
      <c r="D10" s="361">
        <v>80</v>
      </c>
      <c r="E10" s="361">
        <v>80</v>
      </c>
      <c r="F10" s="361">
        <v>75</v>
      </c>
      <c r="G10" s="421" t="s">
        <v>293</v>
      </c>
      <c r="H10" s="339" t="b">
        <f>AND(D9&gt;=50,E9&gt;=50,F9&gt;=50)</f>
        <v>0</v>
      </c>
      <c r="I10" s="343" t="s">
        <v>37</v>
      </c>
      <c r="J10" s="344" t="b">
        <f>AND(D6&gt;=50,E6&gt;=50,F6&gt;=50)</f>
        <v>0</v>
      </c>
      <c r="K10" s="366" t="str">
        <f>IF(AND(D6&gt;=50,E6&gt;=50,F6&gt;=50),"PASSED","FAILED")</f>
        <v>FAILED</v>
      </c>
    </row>
    <row r="11" spans="2:11" x14ac:dyDescent="0.3">
      <c r="B11" s="360">
        <v>9</v>
      </c>
      <c r="C11" s="360" t="s">
        <v>42</v>
      </c>
      <c r="D11" s="361">
        <v>90</v>
      </c>
      <c r="E11" s="361">
        <v>90</v>
      </c>
      <c r="F11" s="361">
        <v>35</v>
      </c>
      <c r="G11" s="422"/>
      <c r="H11" s="339" t="b">
        <f t="shared" ref="H11:H12" si="3">AND(D10&gt;=50,E10&gt;=50,F10&gt;=50)</f>
        <v>1</v>
      </c>
      <c r="I11" s="343" t="s">
        <v>38</v>
      </c>
      <c r="J11" s="344" t="b">
        <f t="shared" ref="J11:J12" si="4">AND(D7&gt;=50,E7&gt;=50,F7&gt;=50)</f>
        <v>0</v>
      </c>
      <c r="K11" s="366" t="str">
        <f t="shared" ref="K11:K12" si="5">IF(AND(D7&gt;=50,E7&gt;=50,F7&gt;=50),"PASSED","FAILED")</f>
        <v>FAILED</v>
      </c>
    </row>
    <row r="12" spans="2:11" x14ac:dyDescent="0.3">
      <c r="B12" s="345">
        <v>10</v>
      </c>
      <c r="C12" s="345" t="s">
        <v>43</v>
      </c>
      <c r="D12" s="346">
        <v>100</v>
      </c>
      <c r="E12" s="346">
        <v>20</v>
      </c>
      <c r="F12" s="346">
        <v>90</v>
      </c>
      <c r="G12" s="423"/>
      <c r="H12" s="339" t="b">
        <f t="shared" si="3"/>
        <v>0</v>
      </c>
      <c r="I12" s="343" t="s">
        <v>39</v>
      </c>
      <c r="J12" s="344" t="b">
        <f t="shared" si="4"/>
        <v>1</v>
      </c>
      <c r="K12" s="366" t="str">
        <f t="shared" si="5"/>
        <v>PASSED</v>
      </c>
    </row>
    <row r="13" spans="2:11" x14ac:dyDescent="0.3">
      <c r="B13" s="347">
        <v>11</v>
      </c>
      <c r="C13" s="347" t="s">
        <v>44</v>
      </c>
      <c r="D13" s="348">
        <v>67</v>
      </c>
      <c r="E13" s="348">
        <v>30</v>
      </c>
      <c r="F13" s="348">
        <v>25</v>
      </c>
      <c r="H13" s="349"/>
      <c r="I13" s="350"/>
      <c r="J13" s="351"/>
      <c r="K13" s="341"/>
    </row>
    <row r="14" spans="2:11" x14ac:dyDescent="0.3">
      <c r="B14" s="345">
        <v>12</v>
      </c>
      <c r="C14" s="345" t="s">
        <v>45</v>
      </c>
      <c r="D14" s="346">
        <v>80</v>
      </c>
      <c r="E14" s="346">
        <v>50</v>
      </c>
      <c r="F14" s="346">
        <v>85</v>
      </c>
      <c r="G14" s="421" t="s">
        <v>294</v>
      </c>
      <c r="H14" s="352" t="b">
        <f>_xlfn.XOR(D9&gt;=50,E9&gt;=50,F9&gt;=50)</f>
        <v>0</v>
      </c>
      <c r="I14" s="342" t="s">
        <v>40</v>
      </c>
      <c r="J14" s="353" t="b">
        <f>_xlfn.XOR(D9&gt;=50,E9&gt;=50,F9&gt;=50)</f>
        <v>0</v>
      </c>
      <c r="K14" s="341" t="str">
        <f>IF(_xlfn.XOR(D9&gt;=50,E9&gt;=50,F9&gt;=50),"PASSED","FAILED")</f>
        <v>FAILED</v>
      </c>
    </row>
    <row r="15" spans="2:11" x14ac:dyDescent="0.3">
      <c r="B15" s="345">
        <v>13</v>
      </c>
      <c r="C15" s="345" t="s">
        <v>46</v>
      </c>
      <c r="D15" s="346">
        <v>90</v>
      </c>
      <c r="E15" s="346">
        <v>100</v>
      </c>
      <c r="F15" s="346">
        <v>50</v>
      </c>
      <c r="G15" s="422"/>
      <c r="H15" s="352" t="b">
        <f t="shared" ref="H15:H16" si="6">_xlfn.XOR(D10&gt;=50,E10&gt;=50,F10&gt;=50)</f>
        <v>1</v>
      </c>
      <c r="I15" s="342" t="s">
        <v>41</v>
      </c>
      <c r="J15" s="353" t="b">
        <f t="shared" ref="J15:J16" si="7">_xlfn.XOR(D10&gt;=50,E10&gt;=50,F10&gt;=50)</f>
        <v>1</v>
      </c>
      <c r="K15" s="341" t="str">
        <f t="shared" ref="K15:K16" si="8">IF(_xlfn.XOR(D10&gt;=50,E10&gt;=50,F10&gt;=50),"PASSED","FAILED")</f>
        <v>PASSED</v>
      </c>
    </row>
    <row r="16" spans="2:11" x14ac:dyDescent="0.3">
      <c r="B16" s="345">
        <v>14</v>
      </c>
      <c r="C16" s="345" t="s">
        <v>34</v>
      </c>
      <c r="D16" s="346">
        <v>40</v>
      </c>
      <c r="E16" s="346">
        <v>70</v>
      </c>
      <c r="F16" s="346">
        <v>60</v>
      </c>
      <c r="G16" s="423"/>
      <c r="H16" s="352" t="b">
        <f t="shared" si="6"/>
        <v>0</v>
      </c>
      <c r="I16" s="342" t="s">
        <v>42</v>
      </c>
      <c r="J16" s="353" t="b">
        <f t="shared" si="7"/>
        <v>0</v>
      </c>
      <c r="K16" s="341" t="str">
        <f t="shared" si="8"/>
        <v>FAILED</v>
      </c>
    </row>
    <row r="17" spans="7:11" x14ac:dyDescent="0.3">
      <c r="H17" s="339" t="s">
        <v>295</v>
      </c>
      <c r="J17" s="354"/>
    </row>
    <row r="18" spans="7:11" x14ac:dyDescent="0.3">
      <c r="G18" s="337" t="b">
        <f>NOT(TRUE)</f>
        <v>0</v>
      </c>
    </row>
    <row r="19" spans="7:11" ht="27" customHeight="1" x14ac:dyDescent="0.3">
      <c r="I19" s="362" t="s">
        <v>91</v>
      </c>
      <c r="J19" s="362" t="s">
        <v>296</v>
      </c>
      <c r="K19" s="362" t="s">
        <v>239</v>
      </c>
    </row>
    <row r="20" spans="7:11" ht="147" x14ac:dyDescent="0.3">
      <c r="G20" s="363" t="s">
        <v>297</v>
      </c>
      <c r="H20" s="335" t="s">
        <v>298</v>
      </c>
      <c r="I20" s="355">
        <v>3000</v>
      </c>
      <c r="J20" s="355">
        <v>2000</v>
      </c>
      <c r="K20" s="355" t="str">
        <f>IF(_xlfn.XOR(I20&gt;1000,J20&gt;1000),"BONUS","NO BONUS")</f>
        <v>NO BONUS</v>
      </c>
    </row>
    <row r="21" spans="7:11" x14ac:dyDescent="0.3">
      <c r="I21" s="424" t="s">
        <v>299</v>
      </c>
      <c r="J21" s="424"/>
      <c r="K21" s="424"/>
    </row>
  </sheetData>
  <mergeCells count="4">
    <mergeCell ref="G6:G8"/>
    <mergeCell ref="G10:G12"/>
    <mergeCell ref="G14:G16"/>
    <mergeCell ref="I21:K2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FA89-E11A-493A-908F-F5778172E085}">
  <dimension ref="A1:Z1000"/>
  <sheetViews>
    <sheetView topLeftCell="C2" workbookViewId="0">
      <selection activeCell="G15" sqref="G15"/>
    </sheetView>
  </sheetViews>
  <sheetFormatPr defaultColWidth="14.6640625" defaultRowHeight="15" customHeight="1" x14ac:dyDescent="0.35"/>
  <cols>
    <col min="1" max="1" width="7.44140625" style="272" customWidth="1"/>
    <col min="2" max="2" width="18.21875" style="272" customWidth="1"/>
    <col min="3" max="3" width="19.6640625" style="272" customWidth="1"/>
    <col min="4" max="4" width="17.33203125" style="272" customWidth="1"/>
    <col min="5" max="5" width="13.33203125" style="272" customWidth="1"/>
    <col min="6" max="6" width="14.109375" style="272" customWidth="1"/>
    <col min="7" max="7" width="13.33203125" style="272" customWidth="1"/>
    <col min="8" max="8" width="15.77734375" style="272" customWidth="1"/>
    <col min="9" max="9" width="15.33203125" style="272" customWidth="1"/>
    <col min="10" max="10" width="14.6640625" style="272" customWidth="1"/>
    <col min="11" max="11" width="17.33203125" style="272" customWidth="1"/>
    <col min="12" max="12" width="14.77734375" style="272" customWidth="1"/>
    <col min="13" max="13" width="17" style="272" customWidth="1"/>
    <col min="14" max="14" width="15.21875" style="272" customWidth="1"/>
    <col min="15" max="15" width="18.77734375" style="272" customWidth="1"/>
    <col min="16" max="16" width="15.88671875" style="272" customWidth="1"/>
    <col min="17" max="26" width="18.77734375" style="272" customWidth="1"/>
    <col min="27" max="16384" width="14.6640625" style="272"/>
  </cols>
  <sheetData>
    <row r="1" spans="1:26" ht="15.6" x14ac:dyDescent="0.35">
      <c r="A1" s="271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</row>
    <row r="2" spans="1:26" ht="15.6" x14ac:dyDescent="0.35">
      <c r="A2" s="271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 spans="1:26" ht="20.25" customHeight="1" x14ac:dyDescent="0.35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</row>
    <row r="4" spans="1:26" ht="18.75" customHeight="1" x14ac:dyDescent="0.35">
      <c r="A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spans="1:26" ht="21" customHeight="1" x14ac:dyDescent="0.35">
      <c r="A5" s="271"/>
      <c r="B5" s="273" t="s">
        <v>65</v>
      </c>
      <c r="C5" s="275" t="s">
        <v>88</v>
      </c>
      <c r="D5" s="275" t="s">
        <v>301</v>
      </c>
      <c r="E5" s="275" t="s">
        <v>302</v>
      </c>
      <c r="F5" s="275" t="s">
        <v>302</v>
      </c>
      <c r="G5" s="275" t="s">
        <v>303</v>
      </c>
      <c r="H5" s="275" t="s">
        <v>304</v>
      </c>
      <c r="I5" s="275" t="s">
        <v>305</v>
      </c>
      <c r="J5" s="275" t="s">
        <v>305</v>
      </c>
      <c r="K5" s="275" t="s">
        <v>306</v>
      </c>
      <c r="L5" s="275" t="s">
        <v>307</v>
      </c>
      <c r="M5" s="275" t="s">
        <v>84</v>
      </c>
      <c r="N5" s="275" t="s">
        <v>84</v>
      </c>
      <c r="O5" s="275" t="s">
        <v>88</v>
      </c>
      <c r="P5" s="275" t="s">
        <v>301</v>
      </c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spans="1:26" ht="21" customHeight="1" x14ac:dyDescent="0.35">
      <c r="A6" s="271"/>
      <c r="B6" s="273" t="s">
        <v>308</v>
      </c>
      <c r="C6" s="276">
        <v>3000</v>
      </c>
      <c r="D6" s="276">
        <v>4000</v>
      </c>
      <c r="E6" s="276">
        <v>6000</v>
      </c>
      <c r="F6" s="276">
        <v>8000</v>
      </c>
      <c r="G6" s="276">
        <v>10000</v>
      </c>
      <c r="H6" s="276">
        <v>14000</v>
      </c>
      <c r="I6" s="276">
        <v>16000</v>
      </c>
      <c r="J6" s="276">
        <v>18000</v>
      </c>
      <c r="K6" s="276">
        <v>20000</v>
      </c>
      <c r="L6" s="276">
        <v>25000</v>
      </c>
      <c r="M6" s="276">
        <v>10000</v>
      </c>
      <c r="N6" s="276">
        <v>30000</v>
      </c>
      <c r="O6" s="276">
        <v>25000</v>
      </c>
      <c r="P6" s="276">
        <v>7000</v>
      </c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 spans="1:26" ht="17.25" customHeight="1" x14ac:dyDescent="0.35">
      <c r="A7" s="271"/>
      <c r="B7" s="273" t="s">
        <v>174</v>
      </c>
      <c r="C7" s="274">
        <v>45665</v>
      </c>
      <c r="D7" s="274">
        <v>45663</v>
      </c>
      <c r="E7" s="274">
        <v>45674</v>
      </c>
      <c r="F7" s="274">
        <v>45667</v>
      </c>
      <c r="G7" s="274">
        <v>45666</v>
      </c>
      <c r="H7" s="274">
        <v>45658</v>
      </c>
      <c r="I7" s="274">
        <v>45660</v>
      </c>
      <c r="J7" s="274">
        <v>45676</v>
      </c>
      <c r="K7" s="274">
        <v>45677</v>
      </c>
      <c r="L7" s="274">
        <v>45667</v>
      </c>
      <c r="M7" s="274">
        <v>45677</v>
      </c>
      <c r="N7" s="274">
        <v>45675</v>
      </c>
      <c r="O7" s="274">
        <v>45672</v>
      </c>
      <c r="P7" s="274">
        <v>45680</v>
      </c>
      <c r="Q7" s="271"/>
      <c r="R7" s="271"/>
      <c r="S7" s="271"/>
      <c r="T7" s="271"/>
      <c r="U7" s="271"/>
      <c r="V7" s="271"/>
      <c r="W7" s="271"/>
      <c r="X7" s="271"/>
      <c r="Y7" s="271"/>
      <c r="Z7" s="271"/>
    </row>
    <row r="8" spans="1:26" ht="19.8" x14ac:dyDescent="0.35">
      <c r="A8" s="271"/>
      <c r="B8" s="273" t="s">
        <v>300</v>
      </c>
      <c r="C8" s="274" t="s">
        <v>73</v>
      </c>
      <c r="D8" s="275" t="s">
        <v>73</v>
      </c>
      <c r="E8" s="274" t="s">
        <v>73</v>
      </c>
      <c r="F8" s="274" t="s">
        <v>78</v>
      </c>
      <c r="G8" s="274" t="s">
        <v>73</v>
      </c>
      <c r="H8" s="274" t="s">
        <v>81</v>
      </c>
      <c r="I8" s="274" t="s">
        <v>81</v>
      </c>
      <c r="J8" s="275" t="s">
        <v>81</v>
      </c>
      <c r="K8" s="275" t="s">
        <v>71</v>
      </c>
      <c r="L8" s="274" t="s">
        <v>81</v>
      </c>
      <c r="M8" s="274" t="s">
        <v>78</v>
      </c>
      <c r="N8" s="274" t="s">
        <v>71</v>
      </c>
      <c r="O8" s="274" t="s">
        <v>73</v>
      </c>
      <c r="P8" s="274" t="s">
        <v>78</v>
      </c>
      <c r="Q8" s="271"/>
      <c r="R8" s="271"/>
      <c r="S8" s="271"/>
      <c r="T8" s="271"/>
      <c r="U8" s="271"/>
      <c r="V8" s="271"/>
      <c r="W8" s="271"/>
      <c r="X8" s="271"/>
      <c r="Y8" s="271"/>
      <c r="Z8" s="271"/>
    </row>
    <row r="9" spans="1:26" ht="17.25" customHeight="1" x14ac:dyDescent="0.35">
      <c r="A9" s="271"/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 spans="1:26" ht="16.5" customHeight="1" x14ac:dyDescent="0.35">
      <c r="A10" s="271"/>
      <c r="B10" s="278" t="s">
        <v>309</v>
      </c>
      <c r="C10" s="278" t="s">
        <v>308</v>
      </c>
      <c r="D10" s="278" t="s">
        <v>174</v>
      </c>
      <c r="E10" s="271" t="s">
        <v>320</v>
      </c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 spans="1:26" ht="16.5" customHeight="1" x14ac:dyDescent="0.35">
      <c r="A11" s="271"/>
      <c r="B11" s="279" t="s">
        <v>301</v>
      </c>
      <c r="C11" s="280">
        <f>HLOOKUP(B11,$B$5:$P$7,2,FALSE)</f>
        <v>4000</v>
      </c>
      <c r="D11" s="281"/>
      <c r="E11" s="277" t="str">
        <f>HLOOKUP(B11,$B$5:$P$8,4,FALSE)</f>
        <v>East</v>
      </c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 spans="1:26" ht="18" customHeight="1" x14ac:dyDescent="0.35">
      <c r="A12" s="271"/>
      <c r="B12" s="279" t="s">
        <v>303</v>
      </c>
      <c r="C12" s="280">
        <f t="shared" ref="C12:C18" si="0">HLOOKUP(B12,$B$5:$P$7,2,FALSE)</f>
        <v>10000</v>
      </c>
      <c r="D12" s="281"/>
      <c r="E12" s="277" t="str">
        <f t="shared" ref="E12:E19" si="1">HLOOKUP(B12,$B$5:$P$8,4,FALSE)</f>
        <v>East</v>
      </c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 spans="1:26" ht="18" customHeight="1" x14ac:dyDescent="0.35">
      <c r="A13" s="271"/>
      <c r="B13" s="279" t="s">
        <v>305</v>
      </c>
      <c r="C13" s="280">
        <f t="shared" si="0"/>
        <v>16000</v>
      </c>
      <c r="D13" s="281"/>
      <c r="E13" s="277" t="str">
        <f t="shared" si="1"/>
        <v>North</v>
      </c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</row>
    <row r="14" spans="1:26" ht="18.600000000000001" x14ac:dyDescent="0.35">
      <c r="A14" s="271"/>
      <c r="B14" s="279" t="s">
        <v>304</v>
      </c>
      <c r="C14" s="280">
        <f t="shared" si="0"/>
        <v>14000</v>
      </c>
      <c r="D14" s="281"/>
      <c r="E14" s="277" t="str">
        <f t="shared" si="1"/>
        <v>North</v>
      </c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 spans="1:26" ht="18.600000000000001" x14ac:dyDescent="0.35">
      <c r="A15" s="271"/>
      <c r="B15" s="282" t="s">
        <v>306</v>
      </c>
      <c r="C15" s="280">
        <f t="shared" si="0"/>
        <v>20000</v>
      </c>
      <c r="D15" s="281"/>
      <c r="E15" s="277" t="str">
        <f t="shared" si="1"/>
        <v>South</v>
      </c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 spans="1:26" ht="18.600000000000001" x14ac:dyDescent="0.35">
      <c r="A16" s="271"/>
      <c r="B16" s="282" t="s">
        <v>307</v>
      </c>
      <c r="C16" s="280">
        <f t="shared" si="0"/>
        <v>25000</v>
      </c>
      <c r="D16" s="281"/>
      <c r="E16" s="277" t="str">
        <f t="shared" si="1"/>
        <v>North</v>
      </c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 spans="1:26" ht="18.600000000000001" x14ac:dyDescent="0.35">
      <c r="A17" s="271"/>
      <c r="B17" s="282" t="s">
        <v>302</v>
      </c>
      <c r="C17" s="280">
        <f t="shared" si="0"/>
        <v>6000</v>
      </c>
      <c r="D17" s="281"/>
      <c r="E17" s="277" t="str">
        <f t="shared" si="1"/>
        <v>East</v>
      </c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 spans="1:26" ht="18.600000000000001" x14ac:dyDescent="0.35">
      <c r="A18" s="271"/>
      <c r="B18" s="282" t="s">
        <v>88</v>
      </c>
      <c r="C18" s="280">
        <f t="shared" si="0"/>
        <v>3000</v>
      </c>
      <c r="D18" s="281"/>
      <c r="E18" s="277" t="str">
        <f t="shared" si="1"/>
        <v>East</v>
      </c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 spans="1:26" ht="15.6" x14ac:dyDescent="0.35">
      <c r="A19" s="271"/>
      <c r="B19" s="271"/>
      <c r="C19" s="271"/>
      <c r="D19" s="271"/>
      <c r="E19" s="277" t="e">
        <f t="shared" si="1"/>
        <v>#N/A</v>
      </c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 spans="1:26" ht="15.6" x14ac:dyDescent="0.35">
      <c r="A20" s="271"/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 spans="1:26" ht="15.6" x14ac:dyDescent="0.35">
      <c r="A21" s="271"/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 spans="1:26" ht="15.6" x14ac:dyDescent="0.35">
      <c r="A22" s="271"/>
      <c r="B22" s="271"/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 spans="1:26" ht="15.6" x14ac:dyDescent="0.35">
      <c r="A23" s="271"/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 spans="1:26" ht="15.6" x14ac:dyDescent="0.35">
      <c r="A24" s="271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 spans="1:26" ht="15.6" x14ac:dyDescent="0.35">
      <c r="A25" s="271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 spans="1:26" ht="15.6" x14ac:dyDescent="0.35">
      <c r="A26" s="271"/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 spans="1:26" ht="15.6" x14ac:dyDescent="0.35">
      <c r="A27" s="271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</row>
    <row r="28" spans="1:26" ht="15.6" x14ac:dyDescent="0.35">
      <c r="A28" s="271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</row>
    <row r="29" spans="1:26" ht="15.6" x14ac:dyDescent="0.35">
      <c r="A29" s="27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 spans="1:26" ht="15.6" x14ac:dyDescent="0.35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 spans="1:26" ht="15.6" x14ac:dyDescent="0.35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</row>
    <row r="32" spans="1:26" ht="15.6" x14ac:dyDescent="0.35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</row>
    <row r="33" spans="1:26" ht="15.6" x14ac:dyDescent="0.35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</row>
    <row r="34" spans="1:26" ht="15.6" x14ac:dyDescent="0.35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</row>
    <row r="35" spans="1:26" ht="15.6" x14ac:dyDescent="0.35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</row>
    <row r="36" spans="1:26" ht="15.6" x14ac:dyDescent="0.35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</row>
    <row r="37" spans="1:26" ht="15.6" x14ac:dyDescent="0.35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</row>
    <row r="38" spans="1:26" ht="15.6" x14ac:dyDescent="0.35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</row>
    <row r="39" spans="1:26" ht="15.6" x14ac:dyDescent="0.35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</row>
    <row r="40" spans="1:26" ht="15.6" x14ac:dyDescent="0.35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</row>
    <row r="41" spans="1:26" ht="15.6" x14ac:dyDescent="0.35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</row>
    <row r="42" spans="1:26" ht="15.6" x14ac:dyDescent="0.35">
      <c r="A42" s="271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</row>
    <row r="43" spans="1:26" ht="15.6" x14ac:dyDescent="0.35">
      <c r="A43" s="271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</row>
    <row r="44" spans="1:26" ht="15.6" x14ac:dyDescent="0.35">
      <c r="A44" s="271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 spans="1:26" ht="15.6" x14ac:dyDescent="0.35">
      <c r="A45" s="271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</row>
    <row r="46" spans="1:26" ht="15.6" x14ac:dyDescent="0.35">
      <c r="A46" s="271"/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</row>
    <row r="47" spans="1:26" ht="15.6" x14ac:dyDescent="0.35">
      <c r="A47" s="271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</row>
    <row r="48" spans="1:26" ht="15.6" x14ac:dyDescent="0.35">
      <c r="A48" s="271"/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</row>
    <row r="49" spans="1:26" ht="15.6" x14ac:dyDescent="0.35">
      <c r="A49" s="271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</row>
    <row r="50" spans="1:26" ht="15.6" x14ac:dyDescent="0.35">
      <c r="A50" s="271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 spans="1:26" ht="15.6" x14ac:dyDescent="0.35">
      <c r="A51" s="271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</row>
    <row r="52" spans="1:26" ht="15.6" x14ac:dyDescent="0.35">
      <c r="A52" s="271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</row>
    <row r="53" spans="1:26" ht="15.6" x14ac:dyDescent="0.35">
      <c r="A53" s="271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</row>
    <row r="54" spans="1:26" ht="15.6" x14ac:dyDescent="0.35">
      <c r="A54" s="271"/>
      <c r="B54" s="271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</row>
    <row r="55" spans="1:26" ht="15.6" x14ac:dyDescent="0.35">
      <c r="A55" s="271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</row>
    <row r="56" spans="1:26" ht="15.6" x14ac:dyDescent="0.35">
      <c r="A56" s="271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</row>
    <row r="57" spans="1:26" ht="15.6" x14ac:dyDescent="0.35">
      <c r="A57" s="271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</row>
    <row r="58" spans="1:26" ht="15.6" x14ac:dyDescent="0.35">
      <c r="A58" s="271"/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</row>
    <row r="59" spans="1:26" ht="15.6" x14ac:dyDescent="0.35">
      <c r="A59" s="271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</row>
    <row r="60" spans="1:26" ht="15.6" x14ac:dyDescent="0.35">
      <c r="A60" s="271"/>
      <c r="B60" s="271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</row>
    <row r="61" spans="1:26" ht="15.6" x14ac:dyDescent="0.35">
      <c r="A61" s="271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 spans="1:26" ht="15.6" x14ac:dyDescent="0.35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</row>
    <row r="63" spans="1:26" ht="15.6" x14ac:dyDescent="0.35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</row>
    <row r="64" spans="1:26" ht="15.6" x14ac:dyDescent="0.35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</row>
    <row r="65" spans="1:26" ht="15.6" x14ac:dyDescent="0.35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</row>
    <row r="66" spans="1:26" ht="15.6" x14ac:dyDescent="0.35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 spans="1:26" ht="15.6" x14ac:dyDescent="0.35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 spans="1:26" ht="15.6" x14ac:dyDescent="0.35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</row>
    <row r="69" spans="1:26" ht="15.6" x14ac:dyDescent="0.35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 spans="1:26" ht="15.6" x14ac:dyDescent="0.35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</row>
    <row r="71" spans="1:26" ht="15.6" x14ac:dyDescent="0.35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</row>
    <row r="72" spans="1:26" ht="15.6" x14ac:dyDescent="0.35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</row>
    <row r="73" spans="1:26" ht="15.6" x14ac:dyDescent="0.35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 spans="1:26" ht="15.6" x14ac:dyDescent="0.35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 spans="1:26" ht="15.6" x14ac:dyDescent="0.35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</row>
    <row r="76" spans="1:26" ht="15.6" x14ac:dyDescent="0.35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</row>
    <row r="77" spans="1:26" ht="15.6" x14ac:dyDescent="0.35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</row>
    <row r="78" spans="1:26" ht="15.6" x14ac:dyDescent="0.35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</row>
    <row r="79" spans="1:26" ht="15.6" x14ac:dyDescent="0.35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</row>
    <row r="80" spans="1:26" ht="15.6" x14ac:dyDescent="0.35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</row>
    <row r="81" spans="1:26" ht="15.6" x14ac:dyDescent="0.35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 spans="1:26" ht="15.6" x14ac:dyDescent="0.35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 spans="1:26" ht="15.6" x14ac:dyDescent="0.35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 spans="1:26" ht="15.6" x14ac:dyDescent="0.35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 spans="1:26" ht="15.6" x14ac:dyDescent="0.35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 spans="1:26" ht="15.6" x14ac:dyDescent="0.35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 spans="1:26" ht="15.6" x14ac:dyDescent="0.35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 spans="1:26" ht="15.6" x14ac:dyDescent="0.35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 spans="1:26" ht="15.6" x14ac:dyDescent="0.35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 spans="1:26" ht="15.6" x14ac:dyDescent="0.35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 spans="1:26" ht="15.6" x14ac:dyDescent="0.35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 spans="1:26" ht="15.6" x14ac:dyDescent="0.35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 spans="1:26" ht="15.6" x14ac:dyDescent="0.35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 spans="1:26" ht="15.6" x14ac:dyDescent="0.35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 spans="1:26" ht="15.6" x14ac:dyDescent="0.35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 spans="1:26" ht="15.6" x14ac:dyDescent="0.35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 spans="1:26" ht="15.6" x14ac:dyDescent="0.35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 spans="1:26" ht="15.6" x14ac:dyDescent="0.35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 spans="1:26" ht="15.6" x14ac:dyDescent="0.35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 spans="1:26" ht="15.6" x14ac:dyDescent="0.35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 spans="1:26" ht="15.6" x14ac:dyDescent="0.35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 spans="1:26" ht="15.6" x14ac:dyDescent="0.35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 spans="1:26" ht="15.6" x14ac:dyDescent="0.35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 spans="1:26" ht="15.6" x14ac:dyDescent="0.35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 spans="1:26" ht="15.6" x14ac:dyDescent="0.35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 spans="1:26" ht="15.6" x14ac:dyDescent="0.35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 spans="1:26" ht="15.6" x14ac:dyDescent="0.35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 spans="1:26" ht="15.6" x14ac:dyDescent="0.35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 spans="1:26" ht="15.6" x14ac:dyDescent="0.35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 spans="1:26" ht="15.6" x14ac:dyDescent="0.35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 spans="1:26" ht="15.6" x14ac:dyDescent="0.35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 spans="1:26" ht="15.6" x14ac:dyDescent="0.35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 spans="1:26" ht="15.6" x14ac:dyDescent="0.35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 spans="1:26" ht="15.6" x14ac:dyDescent="0.35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 spans="1:26" ht="15.6" x14ac:dyDescent="0.35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 spans="1:26" ht="15.6" x14ac:dyDescent="0.35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 spans="1:26" ht="15.6" x14ac:dyDescent="0.35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 spans="1:26" ht="15.6" x14ac:dyDescent="0.35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 spans="1:26" ht="15.6" x14ac:dyDescent="0.35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 spans="1:26" ht="15.6" x14ac:dyDescent="0.35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 spans="1:26" ht="15.6" x14ac:dyDescent="0.35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 spans="1:26" ht="15.6" x14ac:dyDescent="0.35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 spans="1:26" ht="15.6" x14ac:dyDescent="0.35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 spans="1:26" ht="15.6" x14ac:dyDescent="0.35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 spans="1:26" ht="15.6" x14ac:dyDescent="0.35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 spans="1:26" ht="15.6" x14ac:dyDescent="0.35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 spans="1:26" ht="15.6" x14ac:dyDescent="0.35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 spans="1:26" ht="15.6" x14ac:dyDescent="0.35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 spans="1:26" ht="15.6" x14ac:dyDescent="0.35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 spans="1:26" ht="15.6" x14ac:dyDescent="0.35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 spans="1:26" ht="15.6" x14ac:dyDescent="0.35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 spans="1:26" ht="15.6" x14ac:dyDescent="0.35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 spans="1:26" ht="15.6" x14ac:dyDescent="0.35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 spans="1:26" ht="15.6" x14ac:dyDescent="0.35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 spans="1:26" ht="15.6" x14ac:dyDescent="0.35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 spans="1:26" ht="15.6" x14ac:dyDescent="0.35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 spans="1:26" ht="15.6" x14ac:dyDescent="0.35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 spans="1:26" ht="15.6" x14ac:dyDescent="0.35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 spans="1:26" ht="15.6" x14ac:dyDescent="0.35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 spans="1:26" ht="15.6" x14ac:dyDescent="0.35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 spans="1:26" ht="15.6" x14ac:dyDescent="0.35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 spans="1:26" ht="15.6" x14ac:dyDescent="0.35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 spans="1:26" ht="15.6" x14ac:dyDescent="0.35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 spans="1:26" ht="15.6" x14ac:dyDescent="0.35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 spans="1:26" ht="15.6" x14ac:dyDescent="0.35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 spans="1:26" ht="15.6" x14ac:dyDescent="0.35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 spans="1:26" ht="15.6" x14ac:dyDescent="0.35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 spans="1:26" ht="15.6" x14ac:dyDescent="0.35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 spans="1:26" ht="15.6" x14ac:dyDescent="0.35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 spans="1:26" ht="15.6" x14ac:dyDescent="0.35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 spans="1:26" ht="15.6" x14ac:dyDescent="0.35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 spans="1:26" ht="15.6" x14ac:dyDescent="0.35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 spans="1:26" ht="15.6" x14ac:dyDescent="0.35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 spans="1:26" ht="15.6" x14ac:dyDescent="0.35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 spans="1:26" ht="15.6" x14ac:dyDescent="0.35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 spans="1:26" ht="15.6" x14ac:dyDescent="0.35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 spans="1:26" ht="15.6" x14ac:dyDescent="0.35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 spans="1:26" ht="15.6" x14ac:dyDescent="0.35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 spans="1:26" ht="15.6" x14ac:dyDescent="0.35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 spans="1:26" ht="15.6" x14ac:dyDescent="0.35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 spans="1:26" ht="15.6" x14ac:dyDescent="0.35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 spans="1:26" ht="15.6" x14ac:dyDescent="0.35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 spans="1:26" ht="15.6" x14ac:dyDescent="0.35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 spans="1:26" ht="15.6" x14ac:dyDescent="0.35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 spans="1:26" ht="15.6" x14ac:dyDescent="0.35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 spans="1:26" ht="15.6" x14ac:dyDescent="0.35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 spans="1:26" ht="15.6" x14ac:dyDescent="0.35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 spans="1:26" ht="15.6" x14ac:dyDescent="0.35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 spans="1:26" ht="15.6" x14ac:dyDescent="0.35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 spans="1:26" ht="15.6" x14ac:dyDescent="0.35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 spans="1:26" ht="15.6" x14ac:dyDescent="0.35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 spans="1:26" ht="15.6" x14ac:dyDescent="0.35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 spans="1:26" ht="15.6" x14ac:dyDescent="0.35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 spans="1:26" ht="15.6" x14ac:dyDescent="0.35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 spans="1:26" ht="15.6" x14ac:dyDescent="0.35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 spans="1:26" ht="15.6" x14ac:dyDescent="0.35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 spans="1:26" ht="15.6" x14ac:dyDescent="0.35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 spans="1:26" ht="15.6" x14ac:dyDescent="0.35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 spans="1:26" ht="15.6" x14ac:dyDescent="0.35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 spans="1:26" ht="15.6" x14ac:dyDescent="0.35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 spans="1:26" ht="15.6" x14ac:dyDescent="0.35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 spans="1:26" ht="15.6" x14ac:dyDescent="0.35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 spans="1:26" ht="15.6" x14ac:dyDescent="0.35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 spans="1:26" ht="15.6" x14ac:dyDescent="0.35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 spans="1:26" ht="15.6" x14ac:dyDescent="0.35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 spans="1:26" ht="15.6" x14ac:dyDescent="0.35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 spans="1:26" ht="15.6" x14ac:dyDescent="0.35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 spans="1:26" ht="15.6" x14ac:dyDescent="0.35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 spans="1:26" ht="15.6" x14ac:dyDescent="0.35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 spans="1:26" ht="15.6" x14ac:dyDescent="0.35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 spans="1:26" ht="15.6" x14ac:dyDescent="0.35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 spans="1:26" ht="15.6" x14ac:dyDescent="0.35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 spans="1:26" ht="15.6" x14ac:dyDescent="0.35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 spans="1:26" ht="15.6" x14ac:dyDescent="0.35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 spans="1:26" ht="15.6" x14ac:dyDescent="0.35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 spans="1:26" ht="15.6" x14ac:dyDescent="0.35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 spans="1:26" ht="15.6" x14ac:dyDescent="0.35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 spans="1:26" ht="15.6" x14ac:dyDescent="0.35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 spans="1:26" ht="15.6" x14ac:dyDescent="0.35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 spans="1:26" ht="15.6" x14ac:dyDescent="0.35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 spans="1:26" ht="15.6" x14ac:dyDescent="0.35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 spans="1:26" ht="15.6" x14ac:dyDescent="0.35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 spans="1:26" ht="15.6" x14ac:dyDescent="0.35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 spans="1:26" ht="15.6" x14ac:dyDescent="0.35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 spans="1:26" ht="15.6" x14ac:dyDescent="0.35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 spans="1:26" ht="15.6" x14ac:dyDescent="0.35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 spans="1:26" ht="15.6" x14ac:dyDescent="0.35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 spans="1:26" ht="15.6" x14ac:dyDescent="0.35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 spans="1:26" ht="15.6" x14ac:dyDescent="0.35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 spans="1:26" ht="15.6" x14ac:dyDescent="0.35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 spans="1:26" ht="15.6" x14ac:dyDescent="0.35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 spans="1:26" ht="15.6" x14ac:dyDescent="0.35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 spans="1:26" ht="15.6" x14ac:dyDescent="0.35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 spans="1:26" ht="15.6" x14ac:dyDescent="0.35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 spans="1:26" ht="15.6" x14ac:dyDescent="0.35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 spans="1:26" ht="15.6" x14ac:dyDescent="0.35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 spans="1:26" ht="15.6" x14ac:dyDescent="0.35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 spans="1:26" ht="15.6" x14ac:dyDescent="0.35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 spans="1:26" ht="15.6" x14ac:dyDescent="0.35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 spans="1:26" ht="15.6" x14ac:dyDescent="0.35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 spans="1:26" ht="15.6" x14ac:dyDescent="0.35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 spans="1:26" ht="15.6" x14ac:dyDescent="0.35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 spans="1:26" ht="15.6" x14ac:dyDescent="0.35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 spans="1:26" ht="15.6" x14ac:dyDescent="0.35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 spans="1:26" ht="15.6" x14ac:dyDescent="0.35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 spans="1:26" ht="15.6" x14ac:dyDescent="0.35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 spans="1:26" ht="15.6" x14ac:dyDescent="0.35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 spans="1:26" ht="15.6" x14ac:dyDescent="0.35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 spans="1:26" ht="15.6" x14ac:dyDescent="0.35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 spans="1:26" ht="15.6" x14ac:dyDescent="0.35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 spans="1:26" ht="15.6" x14ac:dyDescent="0.35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 spans="1:26" ht="15.6" x14ac:dyDescent="0.35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 spans="1:26" ht="15.6" x14ac:dyDescent="0.35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 spans="1:26" ht="15.6" x14ac:dyDescent="0.35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 spans="1:26" ht="15.6" x14ac:dyDescent="0.35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 spans="1:26" ht="15.6" x14ac:dyDescent="0.35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 spans="1:26" ht="15.6" x14ac:dyDescent="0.35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 spans="1:26" ht="15.6" x14ac:dyDescent="0.35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 spans="1:26" ht="15.6" x14ac:dyDescent="0.35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 spans="1:26" ht="15.6" x14ac:dyDescent="0.35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 spans="1:26" ht="15.6" x14ac:dyDescent="0.35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 spans="1:26" ht="15.6" x14ac:dyDescent="0.35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 spans="1:26" ht="15.6" x14ac:dyDescent="0.35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 spans="1:26" ht="15.6" x14ac:dyDescent="0.35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 spans="1:26" ht="15.6" x14ac:dyDescent="0.35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 spans="1:26" ht="15.6" x14ac:dyDescent="0.35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 spans="1:26" ht="15.6" x14ac:dyDescent="0.35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 spans="1:26" ht="15.6" x14ac:dyDescent="0.35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 spans="1:26" ht="15.6" x14ac:dyDescent="0.35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 spans="1:26" ht="15.6" x14ac:dyDescent="0.35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 spans="1:26" ht="15.6" x14ac:dyDescent="0.35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 spans="1:26" ht="15.6" x14ac:dyDescent="0.35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 spans="1:26" ht="15.6" x14ac:dyDescent="0.35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 spans="1:26" ht="15.6" x14ac:dyDescent="0.35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 spans="1:26" ht="15.6" x14ac:dyDescent="0.35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 spans="1:26" ht="15.6" x14ac:dyDescent="0.35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 spans="1:26" ht="15.6" x14ac:dyDescent="0.35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 spans="1:26" ht="15.6" x14ac:dyDescent="0.35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 spans="1:26" ht="15.6" x14ac:dyDescent="0.35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 spans="1:26" ht="15.6" x14ac:dyDescent="0.35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 spans="1:26" ht="15.6" x14ac:dyDescent="0.35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 spans="1:26" ht="15.6" x14ac:dyDescent="0.35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 spans="1:26" ht="15.6" x14ac:dyDescent="0.35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 spans="1:26" ht="15.6" x14ac:dyDescent="0.35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 spans="1:26" ht="15.6" x14ac:dyDescent="0.35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 spans="1:26" ht="15.6" x14ac:dyDescent="0.35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 spans="1:26" ht="15.6" x14ac:dyDescent="0.35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 spans="1:26" ht="15.6" x14ac:dyDescent="0.35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 spans="1:26" ht="15.6" x14ac:dyDescent="0.35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 spans="1:26" ht="15.6" x14ac:dyDescent="0.35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 spans="1:26" ht="15.6" x14ac:dyDescent="0.35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 spans="1:26" ht="15.6" x14ac:dyDescent="0.35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 spans="1:26" ht="15.6" x14ac:dyDescent="0.35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 spans="1:26" ht="15.6" x14ac:dyDescent="0.35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 spans="1:26" ht="15.6" x14ac:dyDescent="0.35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 spans="1:26" ht="15.6" x14ac:dyDescent="0.35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 spans="1:26" ht="15.6" x14ac:dyDescent="0.35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 spans="1:26" ht="15.6" x14ac:dyDescent="0.35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 spans="1:26" ht="15.6" x14ac:dyDescent="0.35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 spans="1:26" ht="15.6" x14ac:dyDescent="0.35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 spans="1:26" ht="15.6" x14ac:dyDescent="0.35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 spans="1:26" ht="15.6" x14ac:dyDescent="0.35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 spans="1:26" ht="15.6" x14ac:dyDescent="0.35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 spans="1:26" ht="15.6" x14ac:dyDescent="0.35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 spans="1:26" ht="15.6" x14ac:dyDescent="0.35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 spans="1:26" ht="15.6" x14ac:dyDescent="0.35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 spans="1:26" ht="15.6" x14ac:dyDescent="0.35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 spans="1:26" ht="15.6" x14ac:dyDescent="0.35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 spans="1:26" ht="15.6" x14ac:dyDescent="0.35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 spans="1:26" ht="15.6" x14ac:dyDescent="0.35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 spans="1:26" ht="15.6" x14ac:dyDescent="0.35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 spans="1:26" ht="15.6" x14ac:dyDescent="0.35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 spans="1:26" ht="15.6" x14ac:dyDescent="0.35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 spans="1:26" ht="15.6" x14ac:dyDescent="0.35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 spans="1:26" ht="15.6" x14ac:dyDescent="0.35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 spans="1:26" ht="15.6" x14ac:dyDescent="0.35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 spans="1:26" ht="15.6" x14ac:dyDescent="0.35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 spans="1:26" ht="15.6" x14ac:dyDescent="0.35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 spans="1:26" ht="15.6" x14ac:dyDescent="0.35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 spans="1:26" ht="15.6" x14ac:dyDescent="0.35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 spans="1:26" ht="15.6" x14ac:dyDescent="0.35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 spans="1:26" ht="15.6" x14ac:dyDescent="0.35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 spans="1:26" ht="15.6" x14ac:dyDescent="0.35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 spans="1:26" ht="15.6" x14ac:dyDescent="0.35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 spans="1:26" ht="15.6" x14ac:dyDescent="0.35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 spans="1:26" ht="15.6" x14ac:dyDescent="0.35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 spans="1:26" ht="15.6" x14ac:dyDescent="0.35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 spans="1:26" ht="15.6" x14ac:dyDescent="0.35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 spans="1:26" ht="15.6" x14ac:dyDescent="0.35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 spans="1:26" ht="15.6" x14ac:dyDescent="0.35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 spans="1:26" ht="15.6" x14ac:dyDescent="0.35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 spans="1:26" ht="15.6" x14ac:dyDescent="0.35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 spans="1:26" ht="15.6" x14ac:dyDescent="0.35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 spans="1:26" ht="15.6" x14ac:dyDescent="0.35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 spans="1:26" ht="15.6" x14ac:dyDescent="0.35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 spans="1:26" ht="15.6" x14ac:dyDescent="0.35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 spans="1:26" ht="15.6" x14ac:dyDescent="0.35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 spans="1:26" ht="15.6" x14ac:dyDescent="0.35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 spans="1:26" ht="15.6" x14ac:dyDescent="0.35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 spans="1:26" ht="15.6" x14ac:dyDescent="0.35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 spans="1:26" ht="15.6" x14ac:dyDescent="0.35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 spans="1:26" ht="15.6" x14ac:dyDescent="0.35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 spans="1:26" ht="15.6" x14ac:dyDescent="0.35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 spans="1:26" ht="15.6" x14ac:dyDescent="0.35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 spans="1:26" ht="15.6" x14ac:dyDescent="0.35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 spans="1:26" ht="15.6" x14ac:dyDescent="0.35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 spans="1:26" ht="15.6" x14ac:dyDescent="0.35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 spans="1:26" ht="15.6" x14ac:dyDescent="0.35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 spans="1:26" ht="15.6" x14ac:dyDescent="0.35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 spans="1:26" ht="15.6" x14ac:dyDescent="0.35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 spans="1:26" ht="15.6" x14ac:dyDescent="0.35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 spans="1:26" ht="15.6" x14ac:dyDescent="0.35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 spans="1:26" ht="15.6" x14ac:dyDescent="0.35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 spans="1:26" ht="15.6" x14ac:dyDescent="0.35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 spans="1:26" ht="15.6" x14ac:dyDescent="0.35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 spans="1:26" ht="15.6" x14ac:dyDescent="0.35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 spans="1:26" ht="15.6" x14ac:dyDescent="0.35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 spans="1:26" ht="15.6" x14ac:dyDescent="0.35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 spans="1:26" ht="15.6" x14ac:dyDescent="0.35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 spans="1:26" ht="15.6" x14ac:dyDescent="0.35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 spans="1:26" ht="15.6" x14ac:dyDescent="0.35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 spans="1:26" ht="15.6" x14ac:dyDescent="0.35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 spans="1:26" ht="15.6" x14ac:dyDescent="0.35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 spans="1:26" ht="15.6" x14ac:dyDescent="0.35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 spans="1:26" ht="15.6" x14ac:dyDescent="0.35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 spans="1:26" ht="15.6" x14ac:dyDescent="0.35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 spans="1:26" ht="15.6" x14ac:dyDescent="0.35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 spans="1:26" ht="15.6" x14ac:dyDescent="0.35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 spans="1:26" ht="15.6" x14ac:dyDescent="0.35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 spans="1:26" ht="15.6" x14ac:dyDescent="0.35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 spans="1:26" ht="15.6" x14ac:dyDescent="0.35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 spans="1:26" ht="15.6" x14ac:dyDescent="0.35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 spans="1:26" ht="15.6" x14ac:dyDescent="0.35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 spans="1:26" ht="15.6" x14ac:dyDescent="0.35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 spans="1:26" ht="15.6" x14ac:dyDescent="0.35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 spans="1:26" ht="15.6" x14ac:dyDescent="0.35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 spans="1:26" ht="15.6" x14ac:dyDescent="0.35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 spans="1:26" ht="15.6" x14ac:dyDescent="0.35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 spans="1:26" ht="15.6" x14ac:dyDescent="0.35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 spans="1:26" ht="15.6" x14ac:dyDescent="0.35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 spans="1:26" ht="15.6" x14ac:dyDescent="0.35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 spans="1:26" ht="15.6" x14ac:dyDescent="0.35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 spans="1:26" ht="15.6" x14ac:dyDescent="0.35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 spans="1:26" ht="15.6" x14ac:dyDescent="0.35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 spans="1:26" ht="15.6" x14ac:dyDescent="0.35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 spans="1:26" ht="15.6" x14ac:dyDescent="0.35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 spans="1:26" ht="15.6" x14ac:dyDescent="0.35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 spans="1:26" ht="15.6" x14ac:dyDescent="0.35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 spans="1:26" ht="15.6" x14ac:dyDescent="0.35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 spans="1:26" ht="15.6" x14ac:dyDescent="0.35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 spans="1:26" ht="15.6" x14ac:dyDescent="0.35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 spans="1:26" ht="15.6" x14ac:dyDescent="0.35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 spans="1:26" ht="15.6" x14ac:dyDescent="0.35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 spans="1:26" ht="15.6" x14ac:dyDescent="0.35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 spans="1:26" ht="15.6" x14ac:dyDescent="0.35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 spans="1:26" ht="15.6" x14ac:dyDescent="0.35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 spans="1:26" ht="15.6" x14ac:dyDescent="0.35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 spans="1:26" ht="15.6" x14ac:dyDescent="0.35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 spans="1:26" ht="15.6" x14ac:dyDescent="0.35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 spans="1:26" ht="15.6" x14ac:dyDescent="0.35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 spans="1:26" ht="15.6" x14ac:dyDescent="0.35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 spans="1:26" ht="15.6" x14ac:dyDescent="0.35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 spans="1:26" ht="15.6" x14ac:dyDescent="0.35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 spans="1:26" ht="15.6" x14ac:dyDescent="0.35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 spans="1:26" ht="15.6" x14ac:dyDescent="0.35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 spans="1:26" ht="15.6" x14ac:dyDescent="0.35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 spans="1:26" ht="15.6" x14ac:dyDescent="0.35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 spans="1:26" ht="15.6" x14ac:dyDescent="0.35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 spans="1:26" ht="15.6" x14ac:dyDescent="0.35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 spans="1:26" ht="15.6" x14ac:dyDescent="0.35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 spans="1:26" ht="15.6" x14ac:dyDescent="0.35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 spans="1:26" ht="15.6" x14ac:dyDescent="0.35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 spans="1:26" ht="15.6" x14ac:dyDescent="0.35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 spans="1:26" ht="15.6" x14ac:dyDescent="0.35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 spans="1:26" ht="15.6" x14ac:dyDescent="0.35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 spans="1:26" ht="15.6" x14ac:dyDescent="0.35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 spans="1:26" ht="15.6" x14ac:dyDescent="0.35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 spans="1:26" ht="15.6" x14ac:dyDescent="0.35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 spans="1:26" ht="15.6" x14ac:dyDescent="0.35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 spans="1:26" ht="15.6" x14ac:dyDescent="0.35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 spans="1:26" ht="15.6" x14ac:dyDescent="0.35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 spans="1:26" ht="15.6" x14ac:dyDescent="0.35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 spans="1:26" ht="15.6" x14ac:dyDescent="0.35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 spans="1:26" ht="15.6" x14ac:dyDescent="0.35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 spans="1:26" ht="15.6" x14ac:dyDescent="0.35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 spans="1:26" ht="15.6" x14ac:dyDescent="0.35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 spans="1:26" ht="15.6" x14ac:dyDescent="0.35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 spans="1:26" ht="15.6" x14ac:dyDescent="0.35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 spans="1:26" ht="15.6" x14ac:dyDescent="0.35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 spans="1:26" ht="15.6" x14ac:dyDescent="0.35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 spans="1:26" ht="15.6" x14ac:dyDescent="0.35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 spans="1:26" ht="15.6" x14ac:dyDescent="0.35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 spans="1:26" ht="15.6" x14ac:dyDescent="0.35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 spans="1:26" ht="15.6" x14ac:dyDescent="0.35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 spans="1:26" ht="15.6" x14ac:dyDescent="0.35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 spans="1:26" ht="15.6" x14ac:dyDescent="0.35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 spans="1:26" ht="15.6" x14ac:dyDescent="0.35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 spans="1:26" ht="15.6" x14ac:dyDescent="0.35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 spans="1:26" ht="15.6" x14ac:dyDescent="0.35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 spans="1:26" ht="15.6" x14ac:dyDescent="0.35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 spans="1:26" ht="15.6" x14ac:dyDescent="0.35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 spans="1:26" ht="15.6" x14ac:dyDescent="0.35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 spans="1:26" ht="15.6" x14ac:dyDescent="0.35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 spans="1:26" ht="15.6" x14ac:dyDescent="0.35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 spans="1:26" ht="15.6" x14ac:dyDescent="0.35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 spans="1:26" ht="15.6" x14ac:dyDescent="0.35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 spans="1:26" ht="15.6" x14ac:dyDescent="0.35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 spans="1:26" ht="15.6" x14ac:dyDescent="0.35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 spans="1:26" ht="15.6" x14ac:dyDescent="0.35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 spans="1:26" ht="15.6" x14ac:dyDescent="0.35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 spans="1:26" ht="15.6" x14ac:dyDescent="0.35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 spans="1:26" ht="15.6" x14ac:dyDescent="0.35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 spans="1:26" ht="15.6" x14ac:dyDescent="0.35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 spans="1:26" ht="15.6" x14ac:dyDescent="0.35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 spans="1:26" ht="15.6" x14ac:dyDescent="0.35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 spans="1:26" ht="15.6" x14ac:dyDescent="0.35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 spans="1:26" ht="15.6" x14ac:dyDescent="0.35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 spans="1:26" ht="15.6" x14ac:dyDescent="0.35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 spans="1:26" ht="15.6" x14ac:dyDescent="0.35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 spans="1:26" ht="15.6" x14ac:dyDescent="0.35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 spans="1:26" ht="15.6" x14ac:dyDescent="0.35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 spans="1:26" ht="15.6" x14ac:dyDescent="0.35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 spans="1:26" ht="15.6" x14ac:dyDescent="0.35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 spans="1:26" ht="15.6" x14ac:dyDescent="0.35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 spans="1:26" ht="15.6" x14ac:dyDescent="0.35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 spans="1:26" ht="15.6" x14ac:dyDescent="0.35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 spans="1:26" ht="15.6" x14ac:dyDescent="0.35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 spans="1:26" ht="15.6" x14ac:dyDescent="0.35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 spans="1:26" ht="15.6" x14ac:dyDescent="0.35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 spans="1:26" ht="15.6" x14ac:dyDescent="0.35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 spans="1:26" ht="15.6" x14ac:dyDescent="0.35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 spans="1:26" ht="15.6" x14ac:dyDescent="0.35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 spans="1:26" ht="15.6" x14ac:dyDescent="0.35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 spans="1:26" ht="15.6" x14ac:dyDescent="0.35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 spans="1:26" ht="15.6" x14ac:dyDescent="0.35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 spans="1:26" ht="15.6" x14ac:dyDescent="0.35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 spans="1:26" ht="15.6" x14ac:dyDescent="0.35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 spans="1:26" ht="15.6" x14ac:dyDescent="0.35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 spans="1:26" ht="15.6" x14ac:dyDescent="0.35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 spans="1:26" ht="15.6" x14ac:dyDescent="0.35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 spans="1:26" ht="15.6" x14ac:dyDescent="0.35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 spans="1:26" ht="15.6" x14ac:dyDescent="0.35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 spans="1:26" ht="15.6" x14ac:dyDescent="0.35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 spans="1:26" ht="15.6" x14ac:dyDescent="0.35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 spans="1:26" ht="15.6" x14ac:dyDescent="0.35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 spans="1:26" ht="15.6" x14ac:dyDescent="0.35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 spans="1:26" ht="15.6" x14ac:dyDescent="0.35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 spans="1:26" ht="15.6" x14ac:dyDescent="0.35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 spans="1:26" ht="15.6" x14ac:dyDescent="0.35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 spans="1:26" ht="15.6" x14ac:dyDescent="0.35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 spans="1:26" ht="15.6" x14ac:dyDescent="0.35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 spans="1:26" ht="15.6" x14ac:dyDescent="0.35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 spans="1:26" ht="15.6" x14ac:dyDescent="0.35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 spans="1:26" ht="15.6" x14ac:dyDescent="0.35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 spans="1:26" ht="15.6" x14ac:dyDescent="0.35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 spans="1:26" ht="15.6" x14ac:dyDescent="0.35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 spans="1:26" ht="15.6" x14ac:dyDescent="0.35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 spans="1:26" ht="15.6" x14ac:dyDescent="0.35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 spans="1:26" ht="15.6" x14ac:dyDescent="0.35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 spans="1:26" ht="15.6" x14ac:dyDescent="0.35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 spans="1:26" ht="15.6" x14ac:dyDescent="0.35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 spans="1:26" ht="15.6" x14ac:dyDescent="0.35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 spans="1:26" ht="15.6" x14ac:dyDescent="0.35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 spans="1:26" ht="15.6" x14ac:dyDescent="0.35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 spans="1:26" ht="15.6" x14ac:dyDescent="0.35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 spans="1:26" ht="15.6" x14ac:dyDescent="0.35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 spans="1:26" ht="15.6" x14ac:dyDescent="0.35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 spans="1:26" ht="15.6" x14ac:dyDescent="0.35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 spans="1:26" ht="15.6" x14ac:dyDescent="0.35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 spans="1:26" ht="15.6" x14ac:dyDescent="0.35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 spans="1:26" ht="15.6" x14ac:dyDescent="0.35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 spans="1:26" ht="15.6" x14ac:dyDescent="0.35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 spans="1:26" ht="15.6" x14ac:dyDescent="0.35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 spans="1:26" ht="15.6" x14ac:dyDescent="0.35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 spans="1:26" ht="15.6" x14ac:dyDescent="0.35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 spans="1:26" ht="15.6" x14ac:dyDescent="0.35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 spans="1:26" ht="15.6" x14ac:dyDescent="0.35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 spans="1:26" ht="15.6" x14ac:dyDescent="0.35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 spans="1:26" ht="15.6" x14ac:dyDescent="0.35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 spans="1:26" ht="15.6" x14ac:dyDescent="0.35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 spans="1:26" ht="15.6" x14ac:dyDescent="0.35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 spans="1:26" ht="15.6" x14ac:dyDescent="0.35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 spans="1:26" ht="15.6" x14ac:dyDescent="0.35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 spans="1:26" ht="15.6" x14ac:dyDescent="0.35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 spans="1:26" ht="15.6" x14ac:dyDescent="0.35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 spans="1:26" ht="15.6" x14ac:dyDescent="0.35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 spans="1:26" ht="15.6" x14ac:dyDescent="0.35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 spans="1:26" ht="15.6" x14ac:dyDescent="0.35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 spans="1:26" ht="15.6" x14ac:dyDescent="0.35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 spans="1:26" ht="15.6" x14ac:dyDescent="0.35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 spans="1:26" ht="15.6" x14ac:dyDescent="0.35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 spans="1:26" ht="15.6" x14ac:dyDescent="0.35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 spans="1:26" ht="15.6" x14ac:dyDescent="0.35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 spans="1:26" ht="15.6" x14ac:dyDescent="0.35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 spans="1:26" ht="15.6" x14ac:dyDescent="0.35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 spans="1:26" ht="15.6" x14ac:dyDescent="0.35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 spans="1:26" ht="15.6" x14ac:dyDescent="0.35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 spans="1:26" ht="15.6" x14ac:dyDescent="0.35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 spans="1:26" ht="15.6" x14ac:dyDescent="0.35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 spans="1:26" ht="15.6" x14ac:dyDescent="0.35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 spans="1:26" ht="15.6" x14ac:dyDescent="0.35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 spans="1:26" ht="15.6" x14ac:dyDescent="0.35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 spans="1:26" ht="15.6" x14ac:dyDescent="0.35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 spans="1:26" ht="15.6" x14ac:dyDescent="0.35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 spans="1:26" ht="15.6" x14ac:dyDescent="0.35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 spans="1:26" ht="15.6" x14ac:dyDescent="0.35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 spans="1:26" ht="15.6" x14ac:dyDescent="0.35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 spans="1:26" ht="15.6" x14ac:dyDescent="0.35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 spans="1:26" ht="15.6" x14ac:dyDescent="0.35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 spans="1:26" ht="15.6" x14ac:dyDescent="0.35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 spans="1:26" ht="15.6" x14ac:dyDescent="0.35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 spans="1:26" ht="15.6" x14ac:dyDescent="0.35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 spans="1:26" ht="15.6" x14ac:dyDescent="0.35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 spans="1:26" ht="15.6" x14ac:dyDescent="0.35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 spans="1:26" ht="15.6" x14ac:dyDescent="0.35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 spans="1:26" ht="15.6" x14ac:dyDescent="0.35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 spans="1:26" ht="15.6" x14ac:dyDescent="0.35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 spans="1:26" ht="15.6" x14ac:dyDescent="0.35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 spans="1:26" ht="15.6" x14ac:dyDescent="0.35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 spans="1:26" ht="15.6" x14ac:dyDescent="0.35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 spans="1:26" ht="15.6" x14ac:dyDescent="0.35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 spans="1:26" ht="15.6" x14ac:dyDescent="0.35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 spans="1:26" ht="15.6" x14ac:dyDescent="0.35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 spans="1:26" ht="15.6" x14ac:dyDescent="0.35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 spans="1:26" ht="15.6" x14ac:dyDescent="0.35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 spans="1:26" ht="15.6" x14ac:dyDescent="0.35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 spans="1:26" ht="15.6" x14ac:dyDescent="0.35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 spans="1:26" ht="15.6" x14ac:dyDescent="0.35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 spans="1:26" ht="15.6" x14ac:dyDescent="0.35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 spans="1:26" ht="15.6" x14ac:dyDescent="0.35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 spans="1:26" ht="15.6" x14ac:dyDescent="0.35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 spans="1:26" ht="15.6" x14ac:dyDescent="0.35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 spans="1:26" ht="15.6" x14ac:dyDescent="0.35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 spans="1:26" ht="15.6" x14ac:dyDescent="0.35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 spans="1:26" ht="15.6" x14ac:dyDescent="0.35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 spans="1:26" ht="15.6" x14ac:dyDescent="0.35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 spans="1:26" ht="15.6" x14ac:dyDescent="0.35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 spans="1:26" ht="15.6" x14ac:dyDescent="0.35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 spans="1:26" ht="15.6" x14ac:dyDescent="0.35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 spans="1:26" ht="15.6" x14ac:dyDescent="0.35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 spans="1:26" ht="15.6" x14ac:dyDescent="0.35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 spans="1:26" ht="15.6" x14ac:dyDescent="0.35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 spans="1:26" ht="15.6" x14ac:dyDescent="0.35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 spans="1:26" ht="15.6" x14ac:dyDescent="0.35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 spans="1:26" ht="15.6" x14ac:dyDescent="0.35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 spans="1:26" ht="15.6" x14ac:dyDescent="0.35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 spans="1:26" ht="15.6" x14ac:dyDescent="0.35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 spans="1:26" ht="15.6" x14ac:dyDescent="0.35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 spans="1:26" ht="15.6" x14ac:dyDescent="0.35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 spans="1:26" ht="15.6" x14ac:dyDescent="0.35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 spans="1:26" ht="15.6" x14ac:dyDescent="0.35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 spans="1:26" ht="15.6" x14ac:dyDescent="0.35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 spans="1:26" ht="15.6" x14ac:dyDescent="0.35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 spans="1:26" ht="15.6" x14ac:dyDescent="0.35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 spans="1:26" ht="15.6" x14ac:dyDescent="0.35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 spans="1:26" ht="15.6" x14ac:dyDescent="0.35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 spans="1:26" ht="15.6" x14ac:dyDescent="0.35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 spans="1:26" ht="15.6" x14ac:dyDescent="0.35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 spans="1:26" ht="15.6" x14ac:dyDescent="0.35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 spans="1:26" ht="15.6" x14ac:dyDescent="0.35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 spans="1:26" ht="15.6" x14ac:dyDescent="0.35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 spans="1:26" ht="15.6" x14ac:dyDescent="0.35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 spans="1:26" ht="15.6" x14ac:dyDescent="0.35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 spans="1:26" ht="15.6" x14ac:dyDescent="0.35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 spans="1:26" ht="15.6" x14ac:dyDescent="0.35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 spans="1:26" ht="15.6" x14ac:dyDescent="0.35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 spans="1:26" ht="15.6" x14ac:dyDescent="0.35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 spans="1:26" ht="15.6" x14ac:dyDescent="0.35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 spans="1:26" ht="15.6" x14ac:dyDescent="0.35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 spans="1:26" ht="15.6" x14ac:dyDescent="0.35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 spans="1:26" ht="15.6" x14ac:dyDescent="0.35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 spans="1:26" ht="15.6" x14ac:dyDescent="0.35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 spans="1:26" ht="15.6" x14ac:dyDescent="0.35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 spans="1:26" ht="15.6" x14ac:dyDescent="0.35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 spans="1:26" ht="15.6" x14ac:dyDescent="0.35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 spans="1:26" ht="15.6" x14ac:dyDescent="0.35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 spans="1:26" ht="15.6" x14ac:dyDescent="0.35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 spans="1:26" ht="15.6" x14ac:dyDescent="0.35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 spans="1:26" ht="15.6" x14ac:dyDescent="0.35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 spans="1:26" ht="15.6" x14ac:dyDescent="0.35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 spans="1:26" ht="15.6" x14ac:dyDescent="0.35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 spans="1:26" ht="15.6" x14ac:dyDescent="0.35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 spans="1:26" ht="15.6" x14ac:dyDescent="0.35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 spans="1:26" ht="15.6" x14ac:dyDescent="0.35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 spans="1:26" ht="15.6" x14ac:dyDescent="0.35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 spans="1:26" ht="15.6" x14ac:dyDescent="0.35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 spans="1:26" ht="15.6" x14ac:dyDescent="0.35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 spans="1:26" ht="15.6" x14ac:dyDescent="0.35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 spans="1:26" ht="15.6" x14ac:dyDescent="0.35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 spans="1:26" ht="15.6" x14ac:dyDescent="0.35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 spans="1:26" ht="15.6" x14ac:dyDescent="0.35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 spans="1:26" ht="15.6" x14ac:dyDescent="0.35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 spans="1:26" ht="15.6" x14ac:dyDescent="0.35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 spans="1:26" ht="15.6" x14ac:dyDescent="0.35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 spans="1:26" ht="15.6" x14ac:dyDescent="0.35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 spans="1:26" ht="15.6" x14ac:dyDescent="0.35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 spans="1:26" ht="15.6" x14ac:dyDescent="0.35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 spans="1:26" ht="15.6" x14ac:dyDescent="0.35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 spans="1:26" ht="15.6" x14ac:dyDescent="0.35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 spans="1:26" ht="15.6" x14ac:dyDescent="0.35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 spans="1:26" ht="15.6" x14ac:dyDescent="0.35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 spans="1:26" ht="15.6" x14ac:dyDescent="0.35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 spans="1:26" ht="15.6" x14ac:dyDescent="0.35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 spans="1:26" ht="15.6" x14ac:dyDescent="0.35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 spans="1:26" ht="15.6" x14ac:dyDescent="0.35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 spans="1:26" ht="15.6" x14ac:dyDescent="0.35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 spans="1:26" ht="15.6" x14ac:dyDescent="0.35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 spans="1:26" ht="15.6" x14ac:dyDescent="0.35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 spans="1:26" ht="15.6" x14ac:dyDescent="0.35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 spans="1:26" ht="15.6" x14ac:dyDescent="0.35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 spans="1:26" ht="15.6" x14ac:dyDescent="0.35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 spans="1:26" ht="15.6" x14ac:dyDescent="0.35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 spans="1:26" ht="15.6" x14ac:dyDescent="0.35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 spans="1:26" ht="15.6" x14ac:dyDescent="0.35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 spans="1:26" ht="15.6" x14ac:dyDescent="0.35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 spans="1:26" ht="15.6" x14ac:dyDescent="0.35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 spans="1:26" ht="15.6" x14ac:dyDescent="0.35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 spans="1:26" ht="15.6" x14ac:dyDescent="0.35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 spans="1:26" ht="15.6" x14ac:dyDescent="0.35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 spans="1:26" ht="15.6" x14ac:dyDescent="0.35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 spans="1:26" ht="15.6" x14ac:dyDescent="0.35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 spans="1:26" ht="15.6" x14ac:dyDescent="0.35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 spans="1:26" ht="15.6" x14ac:dyDescent="0.35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 spans="1:26" ht="15.6" x14ac:dyDescent="0.35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 spans="1:26" ht="15.6" x14ac:dyDescent="0.35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 spans="1:26" ht="15.6" x14ac:dyDescent="0.35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 spans="1:26" ht="15.6" x14ac:dyDescent="0.35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 spans="1:26" ht="15.6" x14ac:dyDescent="0.35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 spans="1:26" ht="15.6" x14ac:dyDescent="0.35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 spans="1:26" ht="15.6" x14ac:dyDescent="0.35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 spans="1:26" ht="15.6" x14ac:dyDescent="0.35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 spans="1:26" ht="15.6" x14ac:dyDescent="0.35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 spans="1:26" ht="15.6" x14ac:dyDescent="0.35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 spans="1:26" ht="15.6" x14ac:dyDescent="0.35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 spans="1:26" ht="15.6" x14ac:dyDescent="0.35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 spans="1:26" ht="15.6" x14ac:dyDescent="0.35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 spans="1:26" ht="15.6" x14ac:dyDescent="0.35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 spans="1:26" ht="15.6" x14ac:dyDescent="0.35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 spans="1:26" ht="15.6" x14ac:dyDescent="0.35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 spans="1:26" ht="15.6" x14ac:dyDescent="0.35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 spans="1:26" ht="15.6" x14ac:dyDescent="0.35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 spans="1:26" ht="15.6" x14ac:dyDescent="0.35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 spans="1:26" ht="15.6" x14ac:dyDescent="0.35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 spans="1:26" ht="15.6" x14ac:dyDescent="0.35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 spans="1:26" ht="15.6" x14ac:dyDescent="0.35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 spans="1:26" ht="15.6" x14ac:dyDescent="0.35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 spans="1:26" ht="15.6" x14ac:dyDescent="0.35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 spans="1:26" ht="15.6" x14ac:dyDescent="0.35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 spans="1:26" ht="15.6" x14ac:dyDescent="0.35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 spans="1:26" ht="15.6" x14ac:dyDescent="0.35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 spans="1:26" ht="15.6" x14ac:dyDescent="0.35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 spans="1:26" ht="15.6" x14ac:dyDescent="0.35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 spans="1:26" ht="15.6" x14ac:dyDescent="0.35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 spans="1:26" ht="15.6" x14ac:dyDescent="0.35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 spans="1:26" ht="15.6" x14ac:dyDescent="0.35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 spans="1:26" ht="15.6" x14ac:dyDescent="0.35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 spans="1:26" ht="15.6" x14ac:dyDescent="0.35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 spans="1:26" ht="15.6" x14ac:dyDescent="0.35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 spans="1:26" ht="15.6" x14ac:dyDescent="0.35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 spans="1:26" ht="15.6" x14ac:dyDescent="0.35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 spans="1:26" ht="15.6" x14ac:dyDescent="0.35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 spans="1:26" ht="15.6" x14ac:dyDescent="0.35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 spans="1:26" ht="15.6" x14ac:dyDescent="0.35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 spans="1:26" ht="15.6" x14ac:dyDescent="0.35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 spans="1:26" ht="15.6" x14ac:dyDescent="0.35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 spans="1:26" ht="15.6" x14ac:dyDescent="0.35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 spans="1:26" ht="15.6" x14ac:dyDescent="0.35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 spans="1:26" ht="15.6" x14ac:dyDescent="0.35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 spans="1:26" ht="15.6" x14ac:dyDescent="0.35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 spans="1:26" ht="15.6" x14ac:dyDescent="0.35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 spans="1:26" ht="15.6" x14ac:dyDescent="0.35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 spans="1:26" ht="15.6" x14ac:dyDescent="0.35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 spans="1:26" ht="15.6" x14ac:dyDescent="0.35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 spans="1:26" ht="15.6" x14ac:dyDescent="0.35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 spans="1:26" ht="15.6" x14ac:dyDescent="0.35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 spans="1:26" ht="15.6" x14ac:dyDescent="0.35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 spans="1:26" ht="15.6" x14ac:dyDescent="0.35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 spans="1:26" ht="15.6" x14ac:dyDescent="0.35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 spans="1:26" ht="15.6" x14ac:dyDescent="0.35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 spans="1:26" ht="15.6" x14ac:dyDescent="0.35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 spans="1:26" ht="15.6" x14ac:dyDescent="0.35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 spans="1:26" ht="15.6" x14ac:dyDescent="0.35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 spans="1:26" ht="15.6" x14ac:dyDescent="0.35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 spans="1:26" ht="15.6" x14ac:dyDescent="0.35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 spans="1:26" ht="15.6" x14ac:dyDescent="0.35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 spans="1:26" ht="15.6" x14ac:dyDescent="0.35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 spans="1:26" ht="15.6" x14ac:dyDescent="0.35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 spans="1:26" ht="15.6" x14ac:dyDescent="0.35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 spans="1:26" ht="15.6" x14ac:dyDescent="0.35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 spans="1:26" ht="15.6" x14ac:dyDescent="0.35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 spans="1:26" ht="15.6" x14ac:dyDescent="0.35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 spans="1:26" ht="15.6" x14ac:dyDescent="0.35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 spans="1:26" ht="15.6" x14ac:dyDescent="0.35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 spans="1:26" ht="15.6" x14ac:dyDescent="0.35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 spans="1:26" ht="15.6" x14ac:dyDescent="0.35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 spans="1:26" ht="15.6" x14ac:dyDescent="0.35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 spans="1:26" ht="15.6" x14ac:dyDescent="0.35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 spans="1:26" ht="15.6" x14ac:dyDescent="0.35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 spans="1:26" ht="15.6" x14ac:dyDescent="0.35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 spans="1:26" ht="15.6" x14ac:dyDescent="0.35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 spans="1:26" ht="15.6" x14ac:dyDescent="0.35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 spans="1:26" ht="15.6" x14ac:dyDescent="0.35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 spans="1:26" ht="15.6" x14ac:dyDescent="0.35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 spans="1:26" ht="15.6" x14ac:dyDescent="0.35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 spans="1:26" ht="15.6" x14ac:dyDescent="0.35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 spans="1:26" ht="15.6" x14ac:dyDescent="0.35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 spans="1:26" ht="15.6" x14ac:dyDescent="0.35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 spans="1:26" ht="15.6" x14ac:dyDescent="0.35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 spans="1:26" ht="15.6" x14ac:dyDescent="0.35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 spans="1:26" ht="15.6" x14ac:dyDescent="0.35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 spans="1:26" ht="15.6" x14ac:dyDescent="0.35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 spans="1:26" ht="15.6" x14ac:dyDescent="0.35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 spans="1:26" ht="15.6" x14ac:dyDescent="0.35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 spans="1:26" ht="15.6" x14ac:dyDescent="0.35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 spans="1:26" ht="15.6" x14ac:dyDescent="0.35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 spans="1:26" ht="15.6" x14ac:dyDescent="0.35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 spans="1:26" ht="15.6" x14ac:dyDescent="0.35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 spans="1:26" ht="15.6" x14ac:dyDescent="0.35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 spans="1:26" ht="15.6" x14ac:dyDescent="0.35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 spans="1:26" ht="15.6" x14ac:dyDescent="0.35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 spans="1:26" ht="15.6" x14ac:dyDescent="0.35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 spans="1:26" ht="15.6" x14ac:dyDescent="0.35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 spans="1:26" ht="15.6" x14ac:dyDescent="0.35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 spans="1:26" ht="15.6" x14ac:dyDescent="0.35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 spans="1:26" ht="15.6" x14ac:dyDescent="0.35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 spans="1:26" ht="15.6" x14ac:dyDescent="0.35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 spans="1:26" ht="15.6" x14ac:dyDescent="0.35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 spans="1:26" ht="15.6" x14ac:dyDescent="0.35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 spans="1:26" ht="15.6" x14ac:dyDescent="0.35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 spans="1:26" ht="15.6" x14ac:dyDescent="0.35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 spans="1:26" ht="15.6" x14ac:dyDescent="0.35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 spans="1:26" ht="15.6" x14ac:dyDescent="0.35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 spans="1:26" ht="15.6" x14ac:dyDescent="0.35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 spans="1:26" ht="15.6" x14ac:dyDescent="0.35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 spans="1:26" ht="15.6" x14ac:dyDescent="0.35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 spans="1:26" ht="15.6" x14ac:dyDescent="0.35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 spans="1:26" ht="15.6" x14ac:dyDescent="0.35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 spans="1:26" ht="15.6" x14ac:dyDescent="0.35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 spans="1:26" ht="15.6" x14ac:dyDescent="0.35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 spans="1:26" ht="15.6" x14ac:dyDescent="0.35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 spans="1:26" ht="15.6" x14ac:dyDescent="0.35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 spans="1:26" ht="15.6" x14ac:dyDescent="0.35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 spans="1:26" ht="15.6" x14ac:dyDescent="0.35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 spans="1:26" ht="15.6" x14ac:dyDescent="0.35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 spans="1:26" ht="15.6" x14ac:dyDescent="0.35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 spans="1:26" ht="15.6" x14ac:dyDescent="0.35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 spans="1:26" ht="15.6" x14ac:dyDescent="0.35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 spans="1:26" ht="15.6" x14ac:dyDescent="0.35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 spans="1:26" ht="15.6" x14ac:dyDescent="0.35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 spans="1:26" ht="15.6" x14ac:dyDescent="0.35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 spans="1:26" ht="15.6" x14ac:dyDescent="0.35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 spans="1:26" ht="15.6" x14ac:dyDescent="0.35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 spans="1:26" ht="15.6" x14ac:dyDescent="0.35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 spans="1:26" ht="15.6" x14ac:dyDescent="0.35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 spans="1:26" ht="15.6" x14ac:dyDescent="0.35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 spans="1:26" ht="15.6" x14ac:dyDescent="0.35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 spans="1:26" ht="15.6" x14ac:dyDescent="0.35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 spans="1:26" ht="15.6" x14ac:dyDescent="0.35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 spans="1:26" ht="15.6" x14ac:dyDescent="0.35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 spans="1:26" ht="15.6" x14ac:dyDescent="0.35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 spans="1:26" ht="15.6" x14ac:dyDescent="0.35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 spans="1:26" ht="15.6" x14ac:dyDescent="0.35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 spans="1:26" ht="15.6" x14ac:dyDescent="0.35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 spans="1:26" ht="15.6" x14ac:dyDescent="0.35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 spans="1:26" ht="15.6" x14ac:dyDescent="0.35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 spans="1:26" ht="15.6" x14ac:dyDescent="0.35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 spans="1:26" ht="15.6" x14ac:dyDescent="0.35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 spans="1:26" ht="15.6" x14ac:dyDescent="0.35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 spans="1:26" ht="15.6" x14ac:dyDescent="0.35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 spans="1:26" ht="15.6" x14ac:dyDescent="0.35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 spans="1:26" ht="15.6" x14ac:dyDescent="0.35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 spans="1:26" ht="15.6" x14ac:dyDescent="0.35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 spans="1:26" ht="15.6" x14ac:dyDescent="0.35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 spans="1:26" ht="15.6" x14ac:dyDescent="0.35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 spans="1:26" ht="15.6" x14ac:dyDescent="0.35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 spans="1:26" ht="15.6" x14ac:dyDescent="0.35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 spans="1:26" ht="15.6" x14ac:dyDescent="0.35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 spans="1:26" ht="15.6" x14ac:dyDescent="0.35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 spans="1:26" ht="15.6" x14ac:dyDescent="0.35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 spans="1:26" ht="15.6" x14ac:dyDescent="0.35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 spans="1:26" ht="15.6" x14ac:dyDescent="0.35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 spans="1:26" ht="15.6" x14ac:dyDescent="0.35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 spans="1:26" ht="15.6" x14ac:dyDescent="0.35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 spans="1:26" ht="15.6" x14ac:dyDescent="0.35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 spans="1:26" ht="15.6" x14ac:dyDescent="0.35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 spans="1:26" ht="15.6" x14ac:dyDescent="0.35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 spans="1:26" ht="15.6" x14ac:dyDescent="0.35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 spans="1:26" ht="15.6" x14ac:dyDescent="0.35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 spans="1:26" ht="15.6" x14ac:dyDescent="0.35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 spans="1:26" ht="15.6" x14ac:dyDescent="0.35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 spans="1:26" ht="15.6" x14ac:dyDescent="0.35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 spans="1:26" ht="15.6" x14ac:dyDescent="0.35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 spans="1:26" ht="15.6" x14ac:dyDescent="0.35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 spans="1:26" ht="15.6" x14ac:dyDescent="0.35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 spans="1:26" ht="15.6" x14ac:dyDescent="0.35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 spans="1:26" ht="15.6" x14ac:dyDescent="0.35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 spans="1:26" ht="15.6" x14ac:dyDescent="0.35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 spans="1:26" ht="15.6" x14ac:dyDescent="0.35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 spans="1:26" ht="15.6" x14ac:dyDescent="0.35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 spans="1:26" ht="15.6" x14ac:dyDescent="0.35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 spans="1:26" ht="15.6" x14ac:dyDescent="0.35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 spans="1:26" ht="15.6" x14ac:dyDescent="0.35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 spans="1:26" ht="15.6" x14ac:dyDescent="0.35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 spans="1:26" ht="15.6" x14ac:dyDescent="0.35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 spans="1:26" ht="15.6" x14ac:dyDescent="0.35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 spans="1:26" ht="15.6" x14ac:dyDescent="0.35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 spans="1:26" ht="15.6" x14ac:dyDescent="0.35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 spans="1:26" ht="15.6" x14ac:dyDescent="0.35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 spans="1:26" ht="15.6" x14ac:dyDescent="0.35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 spans="1:26" ht="15.6" x14ac:dyDescent="0.35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 spans="1:26" ht="15.6" x14ac:dyDescent="0.35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 spans="1:26" ht="15.6" x14ac:dyDescent="0.35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 spans="1:26" ht="15.6" x14ac:dyDescent="0.35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 spans="1:26" ht="15.6" x14ac:dyDescent="0.35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 spans="1:26" ht="15.6" x14ac:dyDescent="0.35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 spans="1:26" ht="15.6" x14ac:dyDescent="0.35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 spans="1:26" ht="15.6" x14ac:dyDescent="0.35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 spans="1:26" ht="15.6" x14ac:dyDescent="0.35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 spans="1:26" ht="15.6" x14ac:dyDescent="0.35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 spans="1:26" ht="15.6" x14ac:dyDescent="0.35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 spans="1:26" ht="15.6" x14ac:dyDescent="0.35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 spans="1:26" ht="15.6" x14ac:dyDescent="0.35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 spans="1:26" ht="15.6" x14ac:dyDescent="0.35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 spans="1:26" ht="15.6" x14ac:dyDescent="0.35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 spans="1:26" ht="15.6" x14ac:dyDescent="0.35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 spans="1:26" ht="15.6" x14ac:dyDescent="0.35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 spans="1:26" ht="15.6" x14ac:dyDescent="0.35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 spans="1:26" ht="15.6" x14ac:dyDescent="0.35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 spans="1:26" ht="15.6" x14ac:dyDescent="0.35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 spans="1:26" ht="15.6" x14ac:dyDescent="0.35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 spans="1:26" ht="15.6" x14ac:dyDescent="0.35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 spans="1:26" ht="15.6" x14ac:dyDescent="0.35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 spans="1:26" ht="15.6" x14ac:dyDescent="0.35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 spans="1:26" ht="15.6" x14ac:dyDescent="0.35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 spans="1:26" ht="15.6" x14ac:dyDescent="0.35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 spans="1:26" ht="15.6" x14ac:dyDescent="0.35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 spans="1:26" ht="15.6" x14ac:dyDescent="0.35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 spans="1:26" ht="15.6" x14ac:dyDescent="0.35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 spans="1:26" ht="15.6" x14ac:dyDescent="0.35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 spans="1:26" ht="15.6" x14ac:dyDescent="0.35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 spans="1:26" ht="15.6" x14ac:dyDescent="0.35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 spans="1:26" ht="15.6" x14ac:dyDescent="0.35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 spans="1:26" ht="15.6" x14ac:dyDescent="0.35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 spans="1:26" ht="15.6" x14ac:dyDescent="0.35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 spans="1:26" ht="15.6" x14ac:dyDescent="0.35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 spans="1:26" ht="15.6" x14ac:dyDescent="0.35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 spans="1:26" ht="15.6" x14ac:dyDescent="0.35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 spans="1:26" ht="15.6" x14ac:dyDescent="0.35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 spans="1:26" ht="15.6" x14ac:dyDescent="0.35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 spans="1:26" ht="15.6" x14ac:dyDescent="0.35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 spans="1:26" ht="15.6" x14ac:dyDescent="0.35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 spans="1:26" ht="15.6" x14ac:dyDescent="0.35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 spans="1:26" ht="15.6" x14ac:dyDescent="0.35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 spans="1:26" ht="15.6" x14ac:dyDescent="0.35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 spans="1:26" ht="15.6" x14ac:dyDescent="0.35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 spans="1:26" ht="15.6" x14ac:dyDescent="0.35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 spans="1:26" ht="15.6" x14ac:dyDescent="0.35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 spans="1:26" ht="15.6" x14ac:dyDescent="0.35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 spans="1:26" ht="15.6" x14ac:dyDescent="0.35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 spans="1:26" ht="15.6" x14ac:dyDescent="0.35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 spans="1:26" ht="15.6" x14ac:dyDescent="0.35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 spans="1:26" ht="15.6" x14ac:dyDescent="0.35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 spans="1:26" ht="15.6" x14ac:dyDescent="0.35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 spans="1:26" ht="15.6" x14ac:dyDescent="0.35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 spans="1:26" ht="15.6" x14ac:dyDescent="0.35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 spans="1:26" ht="15.6" x14ac:dyDescent="0.35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 spans="1:26" ht="15.6" x14ac:dyDescent="0.35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 spans="1:26" ht="15.6" x14ac:dyDescent="0.35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 spans="1:26" ht="15.6" x14ac:dyDescent="0.35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 spans="1:26" ht="15.6" x14ac:dyDescent="0.35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 spans="1:26" ht="15.6" x14ac:dyDescent="0.35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 spans="1:26" ht="15.6" x14ac:dyDescent="0.35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 spans="1:26" ht="15.6" x14ac:dyDescent="0.35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 spans="1:26" ht="15.6" x14ac:dyDescent="0.35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 spans="1:26" ht="15.6" x14ac:dyDescent="0.35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 spans="1:26" ht="15.6" x14ac:dyDescent="0.35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 spans="1:26" ht="15.6" x14ac:dyDescent="0.35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 spans="1:26" ht="15.6" x14ac:dyDescent="0.35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 spans="1:26" ht="15.6" x14ac:dyDescent="0.35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 spans="1:26" ht="15.6" x14ac:dyDescent="0.35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 spans="1:26" ht="15.6" x14ac:dyDescent="0.35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 spans="1:26" ht="15.6" x14ac:dyDescent="0.35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 spans="1:26" ht="15.6" x14ac:dyDescent="0.35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 spans="1:26" ht="15.6" x14ac:dyDescent="0.35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 spans="1:26" ht="15.6" x14ac:dyDescent="0.35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 spans="1:26" ht="15.6" x14ac:dyDescent="0.35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 spans="1:26" ht="15.6" x14ac:dyDescent="0.35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 spans="1:26" ht="15.6" x14ac:dyDescent="0.35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 spans="1:26" ht="15.6" x14ac:dyDescent="0.35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 spans="1:26" ht="15.6" x14ac:dyDescent="0.35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 spans="1:26" ht="15.6" x14ac:dyDescent="0.35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 spans="1:26" ht="15.6" x14ac:dyDescent="0.35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 spans="1:26" ht="15.6" x14ac:dyDescent="0.35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 spans="1:26" ht="15.6" x14ac:dyDescent="0.35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 spans="1:26" ht="15.6" x14ac:dyDescent="0.35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 spans="1:26" ht="15.6" x14ac:dyDescent="0.35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 spans="1:26" ht="15.6" x14ac:dyDescent="0.35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 spans="1:26" ht="15.6" x14ac:dyDescent="0.35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 spans="1:26" ht="15.6" x14ac:dyDescent="0.35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 spans="1:26" ht="15.6" x14ac:dyDescent="0.35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 spans="1:26" ht="15.6" x14ac:dyDescent="0.35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 spans="1:26" ht="15.6" x14ac:dyDescent="0.35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 spans="1:26" ht="15.6" x14ac:dyDescent="0.35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 spans="1:26" ht="15.6" x14ac:dyDescent="0.35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 spans="1:26" ht="15.6" x14ac:dyDescent="0.35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 spans="1:26" ht="15.6" x14ac:dyDescent="0.35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 spans="1:26" ht="15.6" x14ac:dyDescent="0.35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 spans="1:26" ht="15.6" x14ac:dyDescent="0.35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 spans="1:26" ht="15.6" x14ac:dyDescent="0.35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 spans="1:26" ht="15.6" x14ac:dyDescent="0.35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 spans="1:26" ht="15.6" x14ac:dyDescent="0.35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 spans="1:26" ht="15.6" x14ac:dyDescent="0.35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 spans="1:26" ht="15.6" x14ac:dyDescent="0.35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 spans="1:26" ht="15.6" x14ac:dyDescent="0.35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 spans="1:26" ht="15.6" x14ac:dyDescent="0.35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 spans="1:26" ht="15.6" x14ac:dyDescent="0.35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 spans="1:26" ht="15.6" x14ac:dyDescent="0.35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 spans="1:26" ht="15.6" x14ac:dyDescent="0.35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 spans="1:26" ht="15.6" x14ac:dyDescent="0.35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 spans="1:26" ht="15.6" x14ac:dyDescent="0.35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 spans="1:26" ht="15.6" x14ac:dyDescent="0.35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 spans="1:26" ht="15.6" x14ac:dyDescent="0.35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 spans="1:26" ht="15.6" x14ac:dyDescent="0.35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 spans="1:26" ht="15.6" x14ac:dyDescent="0.35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 spans="1:26" ht="15.6" x14ac:dyDescent="0.35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 spans="1:26" ht="15.6" x14ac:dyDescent="0.35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 spans="1:26" ht="15.6" x14ac:dyDescent="0.35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 spans="1:26" ht="15.6" x14ac:dyDescent="0.35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 spans="1:26" ht="15.6" x14ac:dyDescent="0.35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 spans="1:26" ht="15.6" x14ac:dyDescent="0.35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 spans="1:26" ht="15.6" x14ac:dyDescent="0.35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 spans="1:26" ht="15.6" x14ac:dyDescent="0.35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 spans="1:26" ht="15.6" x14ac:dyDescent="0.35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 spans="1:26" ht="15.6" x14ac:dyDescent="0.35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 spans="1:26" ht="15.6" x14ac:dyDescent="0.35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 spans="1:26" ht="15.6" x14ac:dyDescent="0.35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 spans="1:26" ht="15.6" x14ac:dyDescent="0.35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 spans="1:26" ht="15.6" x14ac:dyDescent="0.35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 spans="1:26" ht="15.6" x14ac:dyDescent="0.35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 spans="1:26" ht="15.6" x14ac:dyDescent="0.35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 spans="1:26" ht="15.6" x14ac:dyDescent="0.35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 spans="1:26" ht="15.6" x14ac:dyDescent="0.35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 spans="1:26" ht="15.6" x14ac:dyDescent="0.35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 spans="1:26" ht="15.6" x14ac:dyDescent="0.35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 spans="1:26" ht="15.6" x14ac:dyDescent="0.35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 spans="1:26" ht="15.6" x14ac:dyDescent="0.35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 spans="1:26" ht="15.6" x14ac:dyDescent="0.35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 spans="1:26" ht="15.6" x14ac:dyDescent="0.35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 spans="1:26" ht="15.6" x14ac:dyDescent="0.35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 spans="1:26" ht="15.6" x14ac:dyDescent="0.35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 spans="1:26" ht="15.6" x14ac:dyDescent="0.35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 spans="1:26" ht="15.6" x14ac:dyDescent="0.35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 spans="1:26" ht="15.6" x14ac:dyDescent="0.35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 spans="1:26" ht="15.6" x14ac:dyDescent="0.35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 spans="1:26" ht="15.6" x14ac:dyDescent="0.35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 spans="1:26" ht="15.6" x14ac:dyDescent="0.35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 spans="1:26" ht="15.6" x14ac:dyDescent="0.35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 spans="1:26" ht="15.6" x14ac:dyDescent="0.35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 spans="1:26" ht="15.6" x14ac:dyDescent="0.35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 spans="1:26" ht="15.6" x14ac:dyDescent="0.35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 spans="1:26" ht="15.6" x14ac:dyDescent="0.35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 spans="1:26" ht="15.6" x14ac:dyDescent="0.35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 spans="1:26" ht="15.6" x14ac:dyDescent="0.35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 spans="1:26" ht="15.6" x14ac:dyDescent="0.35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 spans="1:26" ht="15.6" x14ac:dyDescent="0.35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 spans="1:26" ht="15.6" x14ac:dyDescent="0.35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 spans="1:26" ht="15.6" x14ac:dyDescent="0.35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 spans="1:26" ht="15.6" x14ac:dyDescent="0.35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 spans="1:26" ht="15.6" x14ac:dyDescent="0.35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 spans="1:26" ht="15.6" x14ac:dyDescent="0.35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 spans="1:26" ht="15.6" x14ac:dyDescent="0.35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 spans="1:26" ht="15.6" x14ac:dyDescent="0.35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 spans="1:26" ht="15.6" x14ac:dyDescent="0.35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 spans="1:26" ht="15.6" x14ac:dyDescent="0.35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 spans="1:26" ht="15.6" x14ac:dyDescent="0.35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 spans="1:26" ht="15.6" x14ac:dyDescent="0.35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 spans="1:26" ht="15.6" x14ac:dyDescent="0.35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 spans="1:26" ht="15.6" x14ac:dyDescent="0.35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 spans="1:26" ht="15.6" x14ac:dyDescent="0.35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 spans="1:26" ht="15.6" x14ac:dyDescent="0.35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</sheetData>
  <pageMargins left="0.7" right="0.7" top="0.75" bottom="0.7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06E1-711B-455A-863C-D2C3B6574780}">
  <dimension ref="A1:Z1000"/>
  <sheetViews>
    <sheetView topLeftCell="A2" zoomScale="79" workbookViewId="0">
      <selection activeCell="G11" sqref="G11"/>
    </sheetView>
  </sheetViews>
  <sheetFormatPr defaultColWidth="14.6640625" defaultRowHeight="18.600000000000001" customHeight="1" x14ac:dyDescent="0.35"/>
  <cols>
    <col min="1" max="1" width="9.21875" style="284" customWidth="1"/>
    <col min="2" max="2" width="20.33203125" style="284" bestFit="1" customWidth="1"/>
    <col min="3" max="3" width="16.33203125" style="284" customWidth="1"/>
    <col min="4" max="4" width="15.109375" style="284" customWidth="1"/>
    <col min="5" max="5" width="10.88671875" style="284" customWidth="1"/>
    <col min="6" max="6" width="9.6640625" style="284" customWidth="1"/>
    <col min="7" max="7" width="19.5546875" style="284" customWidth="1"/>
    <col min="8" max="8" width="20.21875" style="284" customWidth="1"/>
    <col min="9" max="9" width="23" style="284" customWidth="1"/>
    <col min="10" max="10" width="21.21875" style="284" customWidth="1"/>
    <col min="11" max="11" width="19.21875" style="284" customWidth="1"/>
    <col min="12" max="12" width="18.5546875" style="284" customWidth="1"/>
    <col min="13" max="13" width="16.109375" style="284" bestFit="1" customWidth="1"/>
    <col min="14" max="14" width="13.33203125" style="284" customWidth="1"/>
    <col min="15" max="15" width="22.6640625" style="284" bestFit="1" customWidth="1"/>
    <col min="16" max="26" width="8.88671875" style="284" customWidth="1"/>
    <col min="27" max="16384" width="14.6640625" style="284"/>
  </cols>
  <sheetData>
    <row r="1" spans="1:26" ht="18.600000000000001" customHeight="1" x14ac:dyDescent="0.35">
      <c r="A1" s="283"/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26" ht="18.600000000000001" customHeight="1" x14ac:dyDescent="0.35">
      <c r="A2" s="283"/>
      <c r="B2" s="285" t="s">
        <v>65</v>
      </c>
      <c r="C2" s="285" t="s">
        <v>308</v>
      </c>
      <c r="D2" s="285" t="s">
        <v>174</v>
      </c>
      <c r="E2" s="285" t="s">
        <v>300</v>
      </c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</row>
    <row r="3" spans="1:26" ht="18.600000000000001" customHeight="1" x14ac:dyDescent="0.35">
      <c r="A3" s="283"/>
      <c r="B3" s="286" t="s">
        <v>88</v>
      </c>
      <c r="C3" s="287">
        <v>2025</v>
      </c>
      <c r="D3" s="288">
        <v>45359</v>
      </c>
      <c r="E3" s="288" t="s">
        <v>73</v>
      </c>
      <c r="F3" s="283"/>
      <c r="G3" s="289" t="s">
        <v>309</v>
      </c>
      <c r="H3" s="290" t="s">
        <v>301</v>
      </c>
      <c r="I3" s="290" t="s">
        <v>303</v>
      </c>
      <c r="J3" s="290" t="s">
        <v>305</v>
      </c>
      <c r="K3" s="291" t="s">
        <v>304</v>
      </c>
      <c r="L3" s="292" t="s">
        <v>306</v>
      </c>
      <c r="M3" s="292" t="s">
        <v>307</v>
      </c>
      <c r="N3" s="292" t="s">
        <v>302</v>
      </c>
      <c r="O3" s="292" t="s">
        <v>88</v>
      </c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</row>
    <row r="4" spans="1:26" ht="18.600000000000001" customHeight="1" x14ac:dyDescent="0.35">
      <c r="A4" s="283"/>
      <c r="B4" s="286" t="s">
        <v>301</v>
      </c>
      <c r="C4" s="287">
        <v>4000</v>
      </c>
      <c r="D4" s="288">
        <v>45456</v>
      </c>
      <c r="E4" s="288" t="s">
        <v>73</v>
      </c>
      <c r="F4" s="283"/>
      <c r="G4" s="289" t="s">
        <v>308</v>
      </c>
      <c r="H4" s="293">
        <f>VLOOKUP(H3,$B$2:$E$24,2,FALSE)</f>
        <v>4000</v>
      </c>
      <c r="I4" s="293">
        <f t="shared" ref="I4:O4" si="0">VLOOKUP(I3,$B$2:$E$24,2,FALSE)</f>
        <v>10000</v>
      </c>
      <c r="J4" s="293">
        <f t="shared" si="0"/>
        <v>16000</v>
      </c>
      <c r="K4" s="293">
        <f t="shared" si="0"/>
        <v>14000</v>
      </c>
      <c r="L4" s="293">
        <f t="shared" si="0"/>
        <v>20000</v>
      </c>
      <c r="M4" s="293">
        <f t="shared" si="0"/>
        <v>25000</v>
      </c>
      <c r="N4" s="293">
        <f t="shared" si="0"/>
        <v>6000</v>
      </c>
      <c r="O4" s="293">
        <f t="shared" si="0"/>
        <v>2025</v>
      </c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</row>
    <row r="5" spans="1:26" ht="18.600000000000001" customHeight="1" x14ac:dyDescent="0.35">
      <c r="A5" s="283"/>
      <c r="B5" s="286" t="s">
        <v>302</v>
      </c>
      <c r="C5" s="287">
        <v>6000</v>
      </c>
      <c r="D5" s="288">
        <v>45524</v>
      </c>
      <c r="E5" s="288" t="s">
        <v>73</v>
      </c>
      <c r="F5" s="283"/>
      <c r="G5" s="289" t="s">
        <v>174</v>
      </c>
      <c r="H5" s="294">
        <f>VLOOKUP(H3,$B$2:$E$24,3,FALSE)</f>
        <v>45456</v>
      </c>
      <c r="I5" s="294">
        <f t="shared" ref="I5:O5" si="1">VLOOKUP(I3,$B$2:$E$24,3,FALSE)</f>
        <v>45660</v>
      </c>
      <c r="J5" s="294">
        <f t="shared" si="1"/>
        <v>45664</v>
      </c>
      <c r="K5" s="294">
        <f t="shared" si="1"/>
        <v>45663</v>
      </c>
      <c r="L5" s="294">
        <f t="shared" si="1"/>
        <v>45667</v>
      </c>
      <c r="M5" s="294">
        <f t="shared" si="1"/>
        <v>45668</v>
      </c>
      <c r="N5" s="294">
        <f t="shared" si="1"/>
        <v>45524</v>
      </c>
      <c r="O5" s="294">
        <f t="shared" si="1"/>
        <v>45359</v>
      </c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</row>
    <row r="6" spans="1:26" ht="18.600000000000001" customHeight="1" x14ac:dyDescent="0.35">
      <c r="A6" s="283"/>
      <c r="B6" s="295" t="s">
        <v>301</v>
      </c>
      <c r="C6" s="296">
        <v>7000</v>
      </c>
      <c r="D6" s="288">
        <v>45557</v>
      </c>
      <c r="E6" s="297" t="s">
        <v>78</v>
      </c>
      <c r="F6" s="283"/>
      <c r="G6" s="298" t="s">
        <v>300</v>
      </c>
      <c r="H6" s="294" t="str">
        <f>VLOOKUP(H3,$B$2:$E$24,4,FALSE)</f>
        <v>East</v>
      </c>
      <c r="I6" s="294" t="str">
        <f t="shared" ref="I6:O6" si="2">VLOOKUP(I3,$B$2:$E$24,4,FALSE)</f>
        <v>East</v>
      </c>
      <c r="J6" s="294" t="str">
        <f t="shared" si="2"/>
        <v>North</v>
      </c>
      <c r="K6" s="294" t="str">
        <f t="shared" si="2"/>
        <v>North</v>
      </c>
      <c r="L6" s="294" t="str">
        <f t="shared" si="2"/>
        <v>North</v>
      </c>
      <c r="M6" s="294" t="str">
        <f t="shared" si="2"/>
        <v>North</v>
      </c>
      <c r="N6" s="294" t="str">
        <f t="shared" si="2"/>
        <v>East</v>
      </c>
      <c r="O6" s="294" t="str">
        <f t="shared" si="2"/>
        <v>East</v>
      </c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</row>
    <row r="7" spans="1:26" ht="18.600000000000001" customHeight="1" x14ac:dyDescent="0.35">
      <c r="A7" s="283"/>
      <c r="B7" s="286" t="s">
        <v>302</v>
      </c>
      <c r="C7" s="287">
        <v>8000</v>
      </c>
      <c r="D7" s="288">
        <v>45658</v>
      </c>
      <c r="E7" s="288" t="s">
        <v>73</v>
      </c>
      <c r="F7" s="283"/>
      <c r="G7" s="283"/>
      <c r="H7" s="299"/>
      <c r="I7" s="299"/>
      <c r="J7" s="300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</row>
    <row r="8" spans="1:26" ht="18.600000000000001" customHeight="1" x14ac:dyDescent="0.35">
      <c r="A8" s="283"/>
      <c r="B8" s="286" t="s">
        <v>303</v>
      </c>
      <c r="C8" s="287">
        <v>10000</v>
      </c>
      <c r="D8" s="288">
        <v>45660</v>
      </c>
      <c r="E8" s="288" t="s">
        <v>73</v>
      </c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</row>
    <row r="9" spans="1:26" ht="18.600000000000001" customHeight="1" x14ac:dyDescent="0.35">
      <c r="A9" s="283"/>
      <c r="B9" s="295" t="s">
        <v>84</v>
      </c>
      <c r="C9" s="296">
        <v>10000</v>
      </c>
      <c r="D9" s="288">
        <v>45661</v>
      </c>
      <c r="E9" s="297" t="s">
        <v>78</v>
      </c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</row>
    <row r="10" spans="1:26" ht="18.600000000000001" customHeight="1" x14ac:dyDescent="0.35">
      <c r="A10" s="283"/>
      <c r="B10" s="286" t="s">
        <v>304</v>
      </c>
      <c r="C10" s="287">
        <v>14000</v>
      </c>
      <c r="D10" s="288">
        <v>45663</v>
      </c>
      <c r="E10" s="288" t="s">
        <v>81</v>
      </c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</row>
    <row r="11" spans="1:26" ht="18.600000000000001" customHeight="1" x14ac:dyDescent="0.35">
      <c r="A11" s="283"/>
      <c r="B11" s="286" t="s">
        <v>305</v>
      </c>
      <c r="C11" s="287">
        <v>16000</v>
      </c>
      <c r="D11" s="288">
        <v>45664</v>
      </c>
      <c r="E11" s="288" t="s">
        <v>81</v>
      </c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</row>
    <row r="12" spans="1:26" ht="18.600000000000001" customHeight="1" x14ac:dyDescent="0.35">
      <c r="A12" s="283"/>
      <c r="B12" s="286" t="s">
        <v>305</v>
      </c>
      <c r="C12" s="287">
        <v>18000</v>
      </c>
      <c r="D12" s="288">
        <v>45667</v>
      </c>
      <c r="E12" s="286" t="s">
        <v>71</v>
      </c>
      <c r="F12" s="283"/>
      <c r="G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</row>
    <row r="13" spans="1:26" ht="18.600000000000001" customHeight="1" x14ac:dyDescent="0.35">
      <c r="A13" s="283"/>
      <c r="B13" s="286" t="s">
        <v>306</v>
      </c>
      <c r="C13" s="287">
        <v>20000</v>
      </c>
      <c r="D13" s="288">
        <v>45667</v>
      </c>
      <c r="E13" s="286" t="s">
        <v>81</v>
      </c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</row>
    <row r="14" spans="1:26" ht="18.600000000000001" customHeight="1" x14ac:dyDescent="0.35">
      <c r="A14" s="283"/>
      <c r="B14" s="286" t="s">
        <v>307</v>
      </c>
      <c r="C14" s="287">
        <v>25000</v>
      </c>
      <c r="D14" s="288">
        <v>45668</v>
      </c>
      <c r="E14" s="288" t="s">
        <v>81</v>
      </c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</row>
    <row r="15" spans="1:26" ht="18.600000000000001" customHeight="1" x14ac:dyDescent="0.35">
      <c r="A15" s="283"/>
      <c r="B15" s="295" t="s">
        <v>88</v>
      </c>
      <c r="C15" s="296">
        <v>25000</v>
      </c>
      <c r="D15" s="288">
        <v>45669</v>
      </c>
      <c r="E15" s="297" t="s">
        <v>73</v>
      </c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</row>
    <row r="16" spans="1:26" ht="18.600000000000001" customHeight="1" x14ac:dyDescent="0.35">
      <c r="A16" s="283"/>
      <c r="B16" s="286" t="s">
        <v>88</v>
      </c>
      <c r="C16" s="287">
        <v>28000</v>
      </c>
      <c r="D16" s="288">
        <v>45670</v>
      </c>
      <c r="E16" s="288" t="s">
        <v>71</v>
      </c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  <c r="Z16" s="283"/>
    </row>
    <row r="17" spans="1:26" ht="18.600000000000001" customHeight="1" x14ac:dyDescent="0.35">
      <c r="A17" s="283"/>
      <c r="B17" s="286" t="s">
        <v>310</v>
      </c>
      <c r="C17" s="287">
        <v>30000</v>
      </c>
      <c r="D17" s="288">
        <v>45670</v>
      </c>
      <c r="E17" s="288" t="s">
        <v>71</v>
      </c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</row>
    <row r="18" spans="1:26" ht="18.600000000000001" customHeight="1" x14ac:dyDescent="0.35">
      <c r="A18" s="283"/>
      <c r="B18" s="286" t="s">
        <v>311</v>
      </c>
      <c r="C18" s="287">
        <v>30000</v>
      </c>
      <c r="D18" s="297">
        <v>45672</v>
      </c>
      <c r="E18" s="288" t="s">
        <v>71</v>
      </c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</row>
    <row r="19" spans="1:26" ht="18.600000000000001" customHeight="1" x14ac:dyDescent="0.35">
      <c r="A19" s="283"/>
      <c r="B19" s="301" t="s">
        <v>84</v>
      </c>
      <c r="C19" s="296">
        <v>30000</v>
      </c>
      <c r="D19" s="302">
        <v>45672</v>
      </c>
      <c r="E19" s="303" t="s">
        <v>71</v>
      </c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</row>
    <row r="20" spans="1:26" ht="18.600000000000001" customHeight="1" x14ac:dyDescent="0.35">
      <c r="A20" s="283"/>
      <c r="B20" s="304" t="s">
        <v>304</v>
      </c>
      <c r="C20" s="287">
        <v>36000</v>
      </c>
      <c r="D20" s="305">
        <v>45674</v>
      </c>
      <c r="E20" s="305" t="s">
        <v>78</v>
      </c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</row>
    <row r="21" spans="1:26" ht="18.600000000000001" customHeight="1" x14ac:dyDescent="0.35">
      <c r="A21" s="283"/>
      <c r="B21" s="286" t="s">
        <v>310</v>
      </c>
      <c r="C21" s="287">
        <v>38000</v>
      </c>
      <c r="D21" s="297">
        <v>45675</v>
      </c>
      <c r="E21" s="288" t="s">
        <v>78</v>
      </c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</row>
    <row r="22" spans="1:26" ht="18.600000000000001" customHeight="1" x14ac:dyDescent="0.35">
      <c r="A22" s="283"/>
      <c r="B22" s="286" t="s">
        <v>302</v>
      </c>
      <c r="C22" s="287">
        <v>40000</v>
      </c>
      <c r="D22" s="288">
        <v>45676</v>
      </c>
      <c r="E22" s="286" t="s">
        <v>78</v>
      </c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</row>
    <row r="23" spans="1:26" ht="18.600000000000001" customHeight="1" x14ac:dyDescent="0.35">
      <c r="A23" s="283"/>
      <c r="B23" s="286" t="s">
        <v>306</v>
      </c>
      <c r="C23" s="287">
        <v>42000</v>
      </c>
      <c r="D23" s="297">
        <v>45677</v>
      </c>
      <c r="E23" s="288" t="s">
        <v>78</v>
      </c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</row>
    <row r="24" spans="1:26" ht="18.600000000000001" customHeight="1" x14ac:dyDescent="0.35">
      <c r="A24" s="283"/>
      <c r="B24" s="286" t="s">
        <v>304</v>
      </c>
      <c r="C24" s="287">
        <v>50000</v>
      </c>
      <c r="D24" s="297">
        <v>45680</v>
      </c>
      <c r="E24" s="288" t="s">
        <v>78</v>
      </c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</row>
    <row r="25" spans="1:26" ht="18.600000000000001" customHeight="1" x14ac:dyDescent="0.35">
      <c r="A25" s="283"/>
      <c r="B25" s="283"/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</row>
    <row r="26" spans="1:26" ht="18.600000000000001" customHeight="1" x14ac:dyDescent="0.35">
      <c r="A26" s="283"/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</row>
    <row r="27" spans="1:26" ht="18.600000000000001" customHeight="1" x14ac:dyDescent="0.35">
      <c r="A27" s="283"/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</row>
    <row r="28" spans="1:26" ht="18.600000000000001" customHeight="1" x14ac:dyDescent="0.35">
      <c r="A28" s="283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</row>
    <row r="29" spans="1:26" ht="18.600000000000001" customHeight="1" x14ac:dyDescent="0.35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</row>
    <row r="30" spans="1:26" ht="18.600000000000001" customHeight="1" x14ac:dyDescent="0.35">
      <c r="A30" s="283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</row>
    <row r="31" spans="1:26" ht="18.600000000000001" customHeight="1" x14ac:dyDescent="0.35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</row>
    <row r="32" spans="1:26" ht="18.600000000000001" customHeight="1" x14ac:dyDescent="0.35">
      <c r="A32" s="283"/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</row>
    <row r="33" spans="1:26" ht="18.600000000000001" customHeight="1" x14ac:dyDescent="0.35">
      <c r="A33" s="283"/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</row>
    <row r="34" spans="1:26" ht="18.600000000000001" customHeight="1" x14ac:dyDescent="0.35">
      <c r="A34" s="283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 ht="18.600000000000001" customHeight="1" x14ac:dyDescent="0.35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</row>
    <row r="36" spans="1:26" ht="18.600000000000001" customHeight="1" x14ac:dyDescent="0.35">
      <c r="A36" s="283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</row>
    <row r="37" spans="1:26" ht="18.600000000000001" customHeight="1" x14ac:dyDescent="0.35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</row>
    <row r="38" spans="1:26" ht="18.600000000000001" customHeight="1" x14ac:dyDescent="0.35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</row>
    <row r="39" spans="1:26" ht="18.600000000000001" customHeight="1" x14ac:dyDescent="0.35">
      <c r="A39" s="283"/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</row>
    <row r="40" spans="1:26" ht="18.600000000000001" customHeight="1" x14ac:dyDescent="0.35">
      <c r="A40" s="283"/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</row>
    <row r="41" spans="1:26" ht="18.600000000000001" customHeight="1" x14ac:dyDescent="0.35">
      <c r="A41" s="283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3"/>
    </row>
    <row r="42" spans="1:26" ht="18.600000000000001" customHeight="1" x14ac:dyDescent="0.35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</row>
    <row r="43" spans="1:26" ht="18.600000000000001" customHeight="1" x14ac:dyDescent="0.35">
      <c r="A43" s="283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</row>
    <row r="44" spans="1:26" ht="18.600000000000001" customHeight="1" x14ac:dyDescent="0.35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</row>
    <row r="45" spans="1:26" ht="18.600000000000001" customHeight="1" x14ac:dyDescent="0.35">
      <c r="A45" s="283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</row>
    <row r="46" spans="1:26" ht="18.600000000000001" customHeight="1" x14ac:dyDescent="0.35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</row>
    <row r="47" spans="1:26" ht="18.600000000000001" customHeight="1" x14ac:dyDescent="0.35">
      <c r="A47" s="283"/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</row>
    <row r="48" spans="1:26" ht="18.600000000000001" customHeight="1" x14ac:dyDescent="0.35">
      <c r="A48" s="283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</row>
    <row r="49" spans="1:26" ht="18.600000000000001" customHeight="1" x14ac:dyDescent="0.35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</row>
    <row r="50" spans="1:26" ht="18.600000000000001" customHeight="1" x14ac:dyDescent="0.35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</row>
    <row r="51" spans="1:26" ht="18.600000000000001" customHeight="1" x14ac:dyDescent="0.35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</row>
    <row r="52" spans="1:26" ht="18.600000000000001" customHeight="1" x14ac:dyDescent="0.35">
      <c r="A52" s="283"/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</row>
    <row r="53" spans="1:26" ht="18.600000000000001" customHeight="1" x14ac:dyDescent="0.35">
      <c r="A53" s="283"/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</row>
    <row r="54" spans="1:26" ht="18.600000000000001" customHeight="1" x14ac:dyDescent="0.35">
      <c r="A54" s="283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3"/>
    </row>
    <row r="55" spans="1:26" ht="18.600000000000001" customHeight="1" x14ac:dyDescent="0.35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3"/>
    </row>
    <row r="56" spans="1:26" ht="18.600000000000001" customHeight="1" x14ac:dyDescent="0.35">
      <c r="A56" s="283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</row>
    <row r="57" spans="1:26" ht="18.600000000000001" customHeight="1" x14ac:dyDescent="0.35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3"/>
    </row>
    <row r="58" spans="1:26" ht="18.600000000000001" customHeight="1" x14ac:dyDescent="0.35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</row>
    <row r="59" spans="1:26" ht="18.600000000000001" customHeight="1" x14ac:dyDescent="0.35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</row>
    <row r="60" spans="1:26" ht="18.600000000000001" customHeight="1" x14ac:dyDescent="0.35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</row>
    <row r="61" spans="1:26" ht="18.600000000000001" customHeight="1" x14ac:dyDescent="0.35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</row>
    <row r="62" spans="1:26" ht="18.600000000000001" customHeight="1" x14ac:dyDescent="0.35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</row>
    <row r="63" spans="1:26" ht="18.600000000000001" customHeight="1" x14ac:dyDescent="0.35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</row>
    <row r="64" spans="1:26" ht="18.600000000000001" customHeight="1" x14ac:dyDescent="0.35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</row>
    <row r="65" spans="1:26" ht="18.600000000000001" customHeight="1" x14ac:dyDescent="0.35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</row>
    <row r="66" spans="1:26" ht="18.600000000000001" customHeight="1" x14ac:dyDescent="0.35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</row>
    <row r="67" spans="1:26" ht="18.600000000000001" customHeight="1" x14ac:dyDescent="0.35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</row>
    <row r="68" spans="1:26" ht="18.600000000000001" customHeight="1" x14ac:dyDescent="0.35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</row>
    <row r="69" spans="1:26" ht="18.600000000000001" customHeight="1" x14ac:dyDescent="0.35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</row>
    <row r="70" spans="1:26" ht="18.600000000000001" customHeight="1" x14ac:dyDescent="0.35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</row>
    <row r="71" spans="1:26" ht="18.600000000000001" customHeight="1" x14ac:dyDescent="0.35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</row>
    <row r="72" spans="1:26" ht="18.600000000000001" customHeight="1" x14ac:dyDescent="0.35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</row>
    <row r="73" spans="1:26" ht="18.600000000000001" customHeight="1" x14ac:dyDescent="0.35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</row>
    <row r="74" spans="1:26" ht="18.600000000000001" customHeight="1" x14ac:dyDescent="0.35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</row>
    <row r="75" spans="1:26" ht="18.600000000000001" customHeight="1" x14ac:dyDescent="0.35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</row>
    <row r="76" spans="1:26" ht="18.600000000000001" customHeight="1" x14ac:dyDescent="0.35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</row>
    <row r="77" spans="1:26" ht="18.600000000000001" customHeight="1" x14ac:dyDescent="0.35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</row>
    <row r="78" spans="1:26" ht="18.600000000000001" customHeight="1" x14ac:dyDescent="0.35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</row>
    <row r="79" spans="1:26" ht="18.600000000000001" customHeight="1" x14ac:dyDescent="0.35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</row>
    <row r="80" spans="1:26" ht="18.600000000000001" customHeight="1" x14ac:dyDescent="0.35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</row>
    <row r="81" spans="1:26" ht="18.600000000000001" customHeight="1" x14ac:dyDescent="0.35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</row>
    <row r="82" spans="1:26" ht="18.600000000000001" customHeight="1" x14ac:dyDescent="0.35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</row>
    <row r="83" spans="1:26" ht="18.600000000000001" customHeight="1" x14ac:dyDescent="0.35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</row>
    <row r="84" spans="1:26" ht="18.600000000000001" customHeight="1" x14ac:dyDescent="0.35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</row>
    <row r="85" spans="1:26" ht="18.600000000000001" customHeight="1" x14ac:dyDescent="0.35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</row>
    <row r="86" spans="1:26" ht="18.600000000000001" customHeight="1" x14ac:dyDescent="0.35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</row>
    <row r="87" spans="1:26" ht="18.600000000000001" customHeight="1" x14ac:dyDescent="0.35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</row>
    <row r="88" spans="1:26" ht="18.600000000000001" customHeight="1" x14ac:dyDescent="0.35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</row>
    <row r="89" spans="1:26" ht="18.600000000000001" customHeight="1" x14ac:dyDescent="0.35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</row>
    <row r="90" spans="1:26" ht="18.600000000000001" customHeight="1" x14ac:dyDescent="0.35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</row>
    <row r="91" spans="1:26" ht="18.600000000000001" customHeight="1" x14ac:dyDescent="0.35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</row>
    <row r="92" spans="1:26" ht="18.600000000000001" customHeight="1" x14ac:dyDescent="0.35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</row>
    <row r="93" spans="1:26" ht="18.600000000000001" customHeight="1" x14ac:dyDescent="0.35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</row>
    <row r="94" spans="1:26" ht="18.600000000000001" customHeight="1" x14ac:dyDescent="0.35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</row>
    <row r="95" spans="1:26" ht="18.600000000000001" customHeight="1" x14ac:dyDescent="0.35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</row>
    <row r="96" spans="1:26" ht="18.600000000000001" customHeight="1" x14ac:dyDescent="0.35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</row>
    <row r="97" spans="1:26" ht="18.600000000000001" customHeight="1" x14ac:dyDescent="0.35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</row>
    <row r="98" spans="1:26" ht="18.600000000000001" customHeight="1" x14ac:dyDescent="0.35">
      <c r="A98" s="283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</row>
    <row r="99" spans="1:26" ht="18.600000000000001" customHeight="1" x14ac:dyDescent="0.35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</row>
    <row r="100" spans="1:26" ht="18.600000000000001" customHeight="1" x14ac:dyDescent="0.35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</row>
    <row r="101" spans="1:26" ht="18.600000000000001" customHeight="1" x14ac:dyDescent="0.35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</row>
    <row r="102" spans="1:26" ht="18.600000000000001" customHeight="1" x14ac:dyDescent="0.35">
      <c r="A102" s="283"/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</row>
    <row r="103" spans="1:26" ht="18.600000000000001" customHeight="1" x14ac:dyDescent="0.35">
      <c r="A103" s="283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</row>
    <row r="104" spans="1:26" ht="18.600000000000001" customHeight="1" x14ac:dyDescent="0.35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</row>
    <row r="105" spans="1:26" ht="18.600000000000001" customHeight="1" x14ac:dyDescent="0.35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</row>
    <row r="106" spans="1:26" ht="18.600000000000001" customHeight="1" x14ac:dyDescent="0.35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</row>
    <row r="107" spans="1:26" ht="18.600000000000001" customHeight="1" x14ac:dyDescent="0.35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</row>
    <row r="108" spans="1:26" ht="18.600000000000001" customHeight="1" x14ac:dyDescent="0.35">
      <c r="A108" s="283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</row>
    <row r="109" spans="1:26" ht="18.600000000000001" customHeight="1" x14ac:dyDescent="0.35">
      <c r="A109" s="283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</row>
    <row r="110" spans="1:26" ht="18.600000000000001" customHeight="1" x14ac:dyDescent="0.35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</row>
    <row r="111" spans="1:26" ht="18.600000000000001" customHeight="1" x14ac:dyDescent="0.35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</row>
    <row r="112" spans="1:26" ht="18.600000000000001" customHeight="1" x14ac:dyDescent="0.35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</row>
    <row r="113" spans="1:26" ht="18.600000000000001" customHeight="1" x14ac:dyDescent="0.35">
      <c r="A113" s="283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</row>
    <row r="114" spans="1:26" ht="18.600000000000001" customHeight="1" x14ac:dyDescent="0.35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</row>
    <row r="115" spans="1:26" ht="18.600000000000001" customHeight="1" x14ac:dyDescent="0.35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</row>
    <row r="116" spans="1:26" ht="18.600000000000001" customHeight="1" x14ac:dyDescent="0.35">
      <c r="A116" s="283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</row>
    <row r="117" spans="1:26" ht="18.600000000000001" customHeight="1" x14ac:dyDescent="0.35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</row>
    <row r="118" spans="1:26" ht="18.600000000000001" customHeight="1" x14ac:dyDescent="0.35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</row>
    <row r="119" spans="1:26" ht="18.600000000000001" customHeight="1" x14ac:dyDescent="0.35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</row>
    <row r="120" spans="1:26" ht="18.600000000000001" customHeight="1" x14ac:dyDescent="0.35">
      <c r="A120" s="283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</row>
    <row r="121" spans="1:26" ht="18.600000000000001" customHeight="1" x14ac:dyDescent="0.35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</row>
    <row r="122" spans="1:26" ht="18.600000000000001" customHeight="1" x14ac:dyDescent="0.35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</row>
    <row r="123" spans="1:26" ht="18.600000000000001" customHeight="1" x14ac:dyDescent="0.35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</row>
    <row r="124" spans="1:26" ht="18.600000000000001" customHeight="1" x14ac:dyDescent="0.35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</row>
    <row r="125" spans="1:26" ht="18.600000000000001" customHeight="1" x14ac:dyDescent="0.35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</row>
    <row r="126" spans="1:26" ht="18.600000000000001" customHeight="1" x14ac:dyDescent="0.35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</row>
    <row r="127" spans="1:26" ht="18.600000000000001" customHeight="1" x14ac:dyDescent="0.35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</row>
    <row r="128" spans="1:26" ht="18.600000000000001" customHeight="1" x14ac:dyDescent="0.35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</row>
    <row r="129" spans="1:26" ht="18.600000000000001" customHeight="1" x14ac:dyDescent="0.35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</row>
    <row r="130" spans="1:26" ht="18.600000000000001" customHeight="1" x14ac:dyDescent="0.35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</row>
    <row r="131" spans="1:26" ht="18.600000000000001" customHeight="1" x14ac:dyDescent="0.35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</row>
    <row r="132" spans="1:26" ht="18.600000000000001" customHeight="1" x14ac:dyDescent="0.35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</row>
    <row r="133" spans="1:26" ht="18.600000000000001" customHeight="1" x14ac:dyDescent="0.35">
      <c r="A133" s="283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</row>
    <row r="134" spans="1:26" ht="18.600000000000001" customHeight="1" x14ac:dyDescent="0.35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</row>
    <row r="135" spans="1:26" ht="18.600000000000001" customHeight="1" x14ac:dyDescent="0.35">
      <c r="A135" s="283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</row>
    <row r="136" spans="1:26" ht="18.600000000000001" customHeight="1" x14ac:dyDescent="0.35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</row>
    <row r="137" spans="1:26" ht="18.600000000000001" customHeight="1" x14ac:dyDescent="0.35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</row>
    <row r="138" spans="1:26" ht="18.600000000000001" customHeight="1" x14ac:dyDescent="0.35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</row>
    <row r="139" spans="1:26" ht="18.600000000000001" customHeight="1" x14ac:dyDescent="0.35">
      <c r="A139" s="283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</row>
    <row r="140" spans="1:26" ht="18.600000000000001" customHeight="1" x14ac:dyDescent="0.35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</row>
    <row r="141" spans="1:26" ht="18.600000000000001" customHeight="1" x14ac:dyDescent="0.35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</row>
    <row r="142" spans="1:26" ht="18.600000000000001" customHeight="1" x14ac:dyDescent="0.35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</row>
    <row r="143" spans="1:26" ht="18.600000000000001" customHeight="1" x14ac:dyDescent="0.35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</row>
    <row r="144" spans="1:26" ht="18.600000000000001" customHeight="1" x14ac:dyDescent="0.35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</row>
    <row r="145" spans="1:26" ht="18.600000000000001" customHeight="1" x14ac:dyDescent="0.35">
      <c r="A145" s="283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</row>
    <row r="146" spans="1:26" ht="18.600000000000001" customHeight="1" x14ac:dyDescent="0.35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</row>
    <row r="147" spans="1:26" ht="18.600000000000001" customHeight="1" x14ac:dyDescent="0.35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</row>
    <row r="148" spans="1:26" ht="18.600000000000001" customHeight="1" x14ac:dyDescent="0.35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</row>
    <row r="149" spans="1:26" ht="18.600000000000001" customHeight="1" x14ac:dyDescent="0.35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</row>
    <row r="150" spans="1:26" ht="18.600000000000001" customHeight="1" x14ac:dyDescent="0.35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</row>
    <row r="151" spans="1:26" ht="18.600000000000001" customHeight="1" x14ac:dyDescent="0.35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</row>
    <row r="152" spans="1:26" ht="18.600000000000001" customHeight="1" x14ac:dyDescent="0.35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</row>
    <row r="153" spans="1:26" ht="18.600000000000001" customHeight="1" x14ac:dyDescent="0.35">
      <c r="A153" s="283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</row>
    <row r="154" spans="1:26" ht="18.600000000000001" customHeight="1" x14ac:dyDescent="0.35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</row>
    <row r="155" spans="1:26" ht="18.600000000000001" customHeight="1" x14ac:dyDescent="0.35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</row>
    <row r="156" spans="1:26" ht="18.600000000000001" customHeight="1" x14ac:dyDescent="0.35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</row>
    <row r="157" spans="1:26" ht="18.600000000000001" customHeight="1" x14ac:dyDescent="0.35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</row>
    <row r="158" spans="1:26" ht="18.600000000000001" customHeight="1" x14ac:dyDescent="0.35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</row>
    <row r="159" spans="1:26" ht="18.600000000000001" customHeight="1" x14ac:dyDescent="0.35">
      <c r="A159" s="283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</row>
    <row r="160" spans="1:26" ht="18.600000000000001" customHeight="1" x14ac:dyDescent="0.35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</row>
    <row r="161" spans="1:26" ht="18.600000000000001" customHeight="1" x14ac:dyDescent="0.35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</row>
    <row r="162" spans="1:26" ht="18.600000000000001" customHeight="1" x14ac:dyDescent="0.35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</row>
    <row r="163" spans="1:26" ht="18.600000000000001" customHeight="1" x14ac:dyDescent="0.35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</row>
    <row r="164" spans="1:26" ht="18.600000000000001" customHeight="1" x14ac:dyDescent="0.35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</row>
    <row r="165" spans="1:26" ht="18.600000000000001" customHeight="1" x14ac:dyDescent="0.35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</row>
    <row r="166" spans="1:26" ht="18.600000000000001" customHeight="1" x14ac:dyDescent="0.35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</row>
    <row r="167" spans="1:26" ht="18.600000000000001" customHeight="1" x14ac:dyDescent="0.35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</row>
    <row r="168" spans="1:26" ht="18.600000000000001" customHeight="1" x14ac:dyDescent="0.35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</row>
    <row r="169" spans="1:26" ht="18.600000000000001" customHeight="1" x14ac:dyDescent="0.35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</row>
    <row r="170" spans="1:26" ht="18.600000000000001" customHeight="1" x14ac:dyDescent="0.35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</row>
    <row r="171" spans="1:26" ht="18.600000000000001" customHeight="1" x14ac:dyDescent="0.35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</row>
    <row r="172" spans="1:26" ht="18.600000000000001" customHeight="1" x14ac:dyDescent="0.35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</row>
    <row r="173" spans="1:26" ht="18.600000000000001" customHeight="1" x14ac:dyDescent="0.35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</row>
    <row r="174" spans="1:26" ht="18.600000000000001" customHeight="1" x14ac:dyDescent="0.35">
      <c r="A174" s="283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</row>
    <row r="175" spans="1:26" ht="18.600000000000001" customHeight="1" x14ac:dyDescent="0.35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</row>
    <row r="176" spans="1:26" ht="18.600000000000001" customHeight="1" x14ac:dyDescent="0.35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</row>
    <row r="177" spans="1:26" ht="18.600000000000001" customHeight="1" x14ac:dyDescent="0.35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</row>
    <row r="178" spans="1:26" ht="18.600000000000001" customHeight="1" x14ac:dyDescent="0.35">
      <c r="A178" s="283"/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</row>
    <row r="179" spans="1:26" ht="18.600000000000001" customHeight="1" x14ac:dyDescent="0.35">
      <c r="A179" s="283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</row>
    <row r="180" spans="1:26" ht="18.600000000000001" customHeight="1" x14ac:dyDescent="0.35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</row>
    <row r="181" spans="1:26" ht="18.600000000000001" customHeight="1" x14ac:dyDescent="0.35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</row>
    <row r="182" spans="1:26" ht="18.600000000000001" customHeight="1" x14ac:dyDescent="0.35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</row>
    <row r="183" spans="1:26" ht="18.600000000000001" customHeight="1" x14ac:dyDescent="0.35">
      <c r="A183" s="28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</row>
    <row r="184" spans="1:26" ht="18.600000000000001" customHeight="1" x14ac:dyDescent="0.35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  <c r="Z184" s="283"/>
    </row>
    <row r="185" spans="1:26" ht="18.600000000000001" customHeight="1" x14ac:dyDescent="0.35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</row>
    <row r="186" spans="1:26" ht="18.600000000000001" customHeight="1" x14ac:dyDescent="0.35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</row>
    <row r="187" spans="1:26" ht="18.600000000000001" customHeight="1" x14ac:dyDescent="0.35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</row>
    <row r="188" spans="1:26" ht="18.600000000000001" customHeight="1" x14ac:dyDescent="0.35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</row>
    <row r="189" spans="1:26" ht="18.600000000000001" customHeight="1" x14ac:dyDescent="0.35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</row>
    <row r="190" spans="1:26" ht="18.600000000000001" customHeight="1" x14ac:dyDescent="0.35">
      <c r="A190" s="283"/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</row>
    <row r="191" spans="1:26" ht="18.600000000000001" customHeight="1" x14ac:dyDescent="0.35">
      <c r="A191" s="283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</row>
    <row r="192" spans="1:26" ht="18.600000000000001" customHeight="1" x14ac:dyDescent="0.35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</row>
    <row r="193" spans="1:26" ht="18.600000000000001" customHeight="1" x14ac:dyDescent="0.35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</row>
    <row r="194" spans="1:26" ht="18.600000000000001" customHeight="1" x14ac:dyDescent="0.35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</row>
    <row r="195" spans="1:26" ht="18.600000000000001" customHeight="1" x14ac:dyDescent="0.35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</row>
    <row r="196" spans="1:26" ht="18.600000000000001" customHeight="1" x14ac:dyDescent="0.35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</row>
    <row r="197" spans="1:26" ht="18.600000000000001" customHeight="1" x14ac:dyDescent="0.35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</row>
    <row r="198" spans="1:26" ht="18.600000000000001" customHeight="1" x14ac:dyDescent="0.35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</row>
    <row r="199" spans="1:26" ht="18.600000000000001" customHeight="1" x14ac:dyDescent="0.35">
      <c r="A199" s="283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</row>
    <row r="200" spans="1:26" ht="18.600000000000001" customHeight="1" x14ac:dyDescent="0.35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</row>
    <row r="201" spans="1:26" ht="18.600000000000001" customHeight="1" x14ac:dyDescent="0.35">
      <c r="A201" s="283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</row>
    <row r="202" spans="1:26" ht="18.600000000000001" customHeight="1" x14ac:dyDescent="0.35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  <c r="Z202" s="283"/>
    </row>
    <row r="203" spans="1:26" ht="18.600000000000001" customHeight="1" x14ac:dyDescent="0.35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</row>
    <row r="204" spans="1:26" ht="18.600000000000001" customHeight="1" x14ac:dyDescent="0.35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</row>
    <row r="205" spans="1:26" ht="18.600000000000001" customHeight="1" x14ac:dyDescent="0.35">
      <c r="A205" s="283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</row>
    <row r="206" spans="1:26" ht="18.600000000000001" customHeight="1" x14ac:dyDescent="0.35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  <c r="Z206" s="283"/>
    </row>
    <row r="207" spans="1:26" ht="18.600000000000001" customHeight="1" x14ac:dyDescent="0.35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</row>
    <row r="208" spans="1:26" ht="18.600000000000001" customHeight="1" x14ac:dyDescent="0.35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</row>
    <row r="209" spans="1:26" ht="18.600000000000001" customHeight="1" x14ac:dyDescent="0.35">
      <c r="A209" s="28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</row>
    <row r="210" spans="1:26" ht="18.600000000000001" customHeight="1" x14ac:dyDescent="0.35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</row>
    <row r="211" spans="1:26" ht="18.600000000000001" customHeight="1" x14ac:dyDescent="0.35">
      <c r="A211" s="283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</row>
    <row r="212" spans="1:26" ht="18.600000000000001" customHeight="1" x14ac:dyDescent="0.35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</row>
    <row r="213" spans="1:26" ht="18.600000000000001" customHeight="1" x14ac:dyDescent="0.35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</row>
    <row r="214" spans="1:26" ht="18.600000000000001" customHeight="1" x14ac:dyDescent="0.35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</row>
    <row r="215" spans="1:26" ht="18.600000000000001" customHeight="1" x14ac:dyDescent="0.35">
      <c r="A215" s="28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</row>
    <row r="216" spans="1:26" ht="18.600000000000001" customHeight="1" x14ac:dyDescent="0.35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</row>
    <row r="217" spans="1:26" ht="18.600000000000001" customHeight="1" x14ac:dyDescent="0.35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</row>
    <row r="218" spans="1:26" ht="18.600000000000001" customHeight="1" x14ac:dyDescent="0.35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</row>
    <row r="219" spans="1:26" ht="18.600000000000001" customHeight="1" x14ac:dyDescent="0.35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</row>
    <row r="220" spans="1:26" ht="18.600000000000001" customHeight="1" x14ac:dyDescent="0.35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</row>
    <row r="221" spans="1:26" ht="18.600000000000001" customHeight="1" x14ac:dyDescent="0.35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</row>
    <row r="222" spans="1:26" ht="18.600000000000001" customHeight="1" x14ac:dyDescent="0.35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</row>
    <row r="223" spans="1:26" ht="18.600000000000001" customHeight="1" x14ac:dyDescent="0.35">
      <c r="A223" s="283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</row>
    <row r="224" spans="1:26" ht="18.600000000000001" customHeight="1" x14ac:dyDescent="0.35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</row>
    <row r="225" spans="1:26" ht="18.600000000000001" customHeight="1" x14ac:dyDescent="0.35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</row>
    <row r="226" spans="1:26" ht="18.600000000000001" customHeight="1" x14ac:dyDescent="0.35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</row>
    <row r="227" spans="1:26" ht="18.600000000000001" customHeight="1" x14ac:dyDescent="0.35">
      <c r="A227" s="283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</row>
    <row r="228" spans="1:26" ht="18.600000000000001" customHeight="1" x14ac:dyDescent="0.35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</row>
    <row r="229" spans="1:26" ht="18.600000000000001" customHeight="1" x14ac:dyDescent="0.35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</row>
    <row r="230" spans="1:26" ht="18.600000000000001" customHeight="1" x14ac:dyDescent="0.35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</row>
    <row r="231" spans="1:26" ht="18.600000000000001" customHeight="1" x14ac:dyDescent="0.35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</row>
    <row r="232" spans="1:26" ht="18.600000000000001" customHeight="1" x14ac:dyDescent="0.35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</row>
    <row r="233" spans="1:26" ht="18.600000000000001" customHeight="1" x14ac:dyDescent="0.35">
      <c r="A233" s="283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</row>
    <row r="234" spans="1:26" ht="18.600000000000001" customHeight="1" x14ac:dyDescent="0.35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</row>
    <row r="235" spans="1:26" ht="18.600000000000001" customHeight="1" x14ac:dyDescent="0.35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</row>
    <row r="236" spans="1:26" ht="18.600000000000001" customHeight="1" x14ac:dyDescent="0.35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</row>
    <row r="237" spans="1:26" ht="18.600000000000001" customHeight="1" x14ac:dyDescent="0.35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</row>
    <row r="238" spans="1:26" ht="18.600000000000001" customHeight="1" x14ac:dyDescent="0.35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</row>
    <row r="239" spans="1:26" ht="18.600000000000001" customHeight="1" x14ac:dyDescent="0.35">
      <c r="A239" s="283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</row>
    <row r="240" spans="1:26" ht="18.600000000000001" customHeight="1" x14ac:dyDescent="0.35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</row>
    <row r="241" spans="1:26" ht="18.600000000000001" customHeight="1" x14ac:dyDescent="0.35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</row>
    <row r="242" spans="1:26" ht="18.600000000000001" customHeight="1" x14ac:dyDescent="0.35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</row>
    <row r="243" spans="1:26" ht="18.600000000000001" customHeight="1" x14ac:dyDescent="0.35">
      <c r="A243" s="28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</row>
    <row r="244" spans="1:26" ht="18.600000000000001" customHeight="1" x14ac:dyDescent="0.35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</row>
    <row r="245" spans="1:26" ht="18.600000000000001" customHeight="1" x14ac:dyDescent="0.35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</row>
    <row r="246" spans="1:26" ht="18.600000000000001" customHeight="1" x14ac:dyDescent="0.35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</row>
    <row r="247" spans="1:26" ht="18.600000000000001" customHeight="1" x14ac:dyDescent="0.35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</row>
    <row r="248" spans="1:26" ht="18.600000000000001" customHeight="1" x14ac:dyDescent="0.35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</row>
    <row r="249" spans="1:26" ht="18.600000000000001" customHeight="1" x14ac:dyDescent="0.35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</row>
    <row r="250" spans="1:26" ht="18.600000000000001" customHeight="1" x14ac:dyDescent="0.35">
      <c r="A250" s="283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</row>
    <row r="251" spans="1:26" ht="18.600000000000001" customHeight="1" x14ac:dyDescent="0.35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</row>
    <row r="252" spans="1:26" ht="18.600000000000001" customHeight="1" x14ac:dyDescent="0.35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</row>
    <row r="253" spans="1:26" ht="18.600000000000001" customHeight="1" x14ac:dyDescent="0.35">
      <c r="A253" s="28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</row>
    <row r="254" spans="1:26" ht="18.600000000000001" customHeight="1" x14ac:dyDescent="0.35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</row>
    <row r="255" spans="1:26" ht="18.600000000000001" customHeight="1" x14ac:dyDescent="0.35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</row>
    <row r="256" spans="1:26" ht="18.600000000000001" customHeight="1" x14ac:dyDescent="0.35">
      <c r="A256" s="283"/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</row>
    <row r="257" spans="1:26" ht="18.600000000000001" customHeight="1" x14ac:dyDescent="0.35">
      <c r="A257" s="283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</row>
    <row r="258" spans="1:26" ht="18.600000000000001" customHeight="1" x14ac:dyDescent="0.35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</row>
    <row r="259" spans="1:26" ht="18.600000000000001" customHeight="1" x14ac:dyDescent="0.35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</row>
    <row r="260" spans="1:26" ht="18.600000000000001" customHeight="1" x14ac:dyDescent="0.35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</row>
    <row r="261" spans="1:26" ht="18.600000000000001" customHeight="1" x14ac:dyDescent="0.35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</row>
    <row r="262" spans="1:26" ht="18.600000000000001" customHeight="1" x14ac:dyDescent="0.35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</row>
    <row r="263" spans="1:26" ht="18.600000000000001" customHeight="1" x14ac:dyDescent="0.35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</row>
    <row r="264" spans="1:26" ht="18.600000000000001" customHeight="1" x14ac:dyDescent="0.35">
      <c r="A264" s="28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</row>
    <row r="265" spans="1:26" ht="18.600000000000001" customHeight="1" x14ac:dyDescent="0.35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</row>
    <row r="266" spans="1:26" ht="18.600000000000001" customHeight="1" x14ac:dyDescent="0.35">
      <c r="A266" s="283"/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</row>
    <row r="267" spans="1:26" ht="18.600000000000001" customHeight="1" x14ac:dyDescent="0.35">
      <c r="A267" s="283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</row>
    <row r="268" spans="1:26" ht="18.600000000000001" customHeight="1" x14ac:dyDescent="0.35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</row>
    <row r="269" spans="1:26" ht="18.600000000000001" customHeight="1" x14ac:dyDescent="0.35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</row>
    <row r="270" spans="1:26" ht="18.600000000000001" customHeight="1" x14ac:dyDescent="0.35">
      <c r="A270" s="28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</row>
    <row r="271" spans="1:26" ht="18.600000000000001" customHeight="1" x14ac:dyDescent="0.35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</row>
    <row r="272" spans="1:26" ht="18.600000000000001" customHeight="1" x14ac:dyDescent="0.35">
      <c r="A272" s="283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</row>
    <row r="273" spans="1:26" ht="18.600000000000001" customHeight="1" x14ac:dyDescent="0.35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</row>
    <row r="274" spans="1:26" ht="18.600000000000001" customHeight="1" x14ac:dyDescent="0.35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</row>
    <row r="275" spans="1:26" ht="18.600000000000001" customHeight="1" x14ac:dyDescent="0.35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</row>
    <row r="276" spans="1:26" ht="18.600000000000001" customHeight="1" x14ac:dyDescent="0.35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</row>
    <row r="277" spans="1:26" ht="18.600000000000001" customHeight="1" x14ac:dyDescent="0.35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</row>
    <row r="278" spans="1:26" ht="18.600000000000001" customHeight="1" x14ac:dyDescent="0.35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</row>
    <row r="279" spans="1:26" ht="18.600000000000001" customHeight="1" x14ac:dyDescent="0.35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</row>
    <row r="280" spans="1:26" ht="18.600000000000001" customHeight="1" x14ac:dyDescent="0.35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</row>
    <row r="281" spans="1:26" ht="18.600000000000001" customHeight="1" x14ac:dyDescent="0.35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</row>
    <row r="282" spans="1:26" ht="18.600000000000001" customHeight="1" x14ac:dyDescent="0.35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</row>
    <row r="283" spans="1:26" ht="18.600000000000001" customHeight="1" x14ac:dyDescent="0.35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</row>
    <row r="284" spans="1:26" ht="18.600000000000001" customHeight="1" x14ac:dyDescent="0.35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</row>
    <row r="285" spans="1:26" ht="18.600000000000001" customHeight="1" x14ac:dyDescent="0.35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</row>
    <row r="286" spans="1:26" ht="18.600000000000001" customHeight="1" x14ac:dyDescent="0.35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</row>
    <row r="287" spans="1:26" ht="18.600000000000001" customHeight="1" x14ac:dyDescent="0.35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</row>
    <row r="288" spans="1:26" ht="18.600000000000001" customHeight="1" x14ac:dyDescent="0.35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</row>
    <row r="289" spans="1:26" ht="18.600000000000001" customHeight="1" x14ac:dyDescent="0.35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</row>
    <row r="290" spans="1:26" ht="18.600000000000001" customHeight="1" x14ac:dyDescent="0.35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</row>
    <row r="291" spans="1:26" ht="18.600000000000001" customHeight="1" x14ac:dyDescent="0.35">
      <c r="A291" s="283"/>
      <c r="B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</row>
    <row r="292" spans="1:26" ht="18.600000000000001" customHeight="1" x14ac:dyDescent="0.35">
      <c r="A292" s="283"/>
      <c r="B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</row>
    <row r="293" spans="1:26" ht="18.600000000000001" customHeight="1" x14ac:dyDescent="0.35">
      <c r="A293" s="283"/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</row>
    <row r="294" spans="1:26" ht="18.600000000000001" customHeight="1" x14ac:dyDescent="0.35">
      <c r="A294" s="283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</row>
    <row r="295" spans="1:26" ht="18.600000000000001" customHeight="1" x14ac:dyDescent="0.35">
      <c r="A295" s="283"/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</row>
    <row r="296" spans="1:26" ht="18.600000000000001" customHeight="1" x14ac:dyDescent="0.35">
      <c r="A296" s="283"/>
      <c r="B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</row>
    <row r="297" spans="1:26" ht="18.600000000000001" customHeight="1" x14ac:dyDescent="0.35">
      <c r="A297" s="283"/>
      <c r="B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</row>
    <row r="298" spans="1:26" ht="18.600000000000001" customHeight="1" x14ac:dyDescent="0.35">
      <c r="A298" s="283"/>
      <c r="B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</row>
    <row r="299" spans="1:26" ht="18.600000000000001" customHeight="1" x14ac:dyDescent="0.35">
      <c r="A299" s="283"/>
      <c r="B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</row>
    <row r="300" spans="1:26" ht="18.600000000000001" customHeight="1" x14ac:dyDescent="0.35">
      <c r="A300" s="283"/>
      <c r="B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</row>
    <row r="301" spans="1:26" ht="18.600000000000001" customHeight="1" x14ac:dyDescent="0.35">
      <c r="A301" s="283"/>
      <c r="B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</row>
    <row r="302" spans="1:26" ht="18.600000000000001" customHeight="1" x14ac:dyDescent="0.35">
      <c r="A302" s="283"/>
      <c r="B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</row>
    <row r="303" spans="1:26" ht="18.600000000000001" customHeight="1" x14ac:dyDescent="0.35">
      <c r="A303" s="283"/>
      <c r="B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</row>
    <row r="304" spans="1:26" ht="18.600000000000001" customHeight="1" x14ac:dyDescent="0.35">
      <c r="A304" s="283"/>
      <c r="B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</row>
    <row r="305" spans="1:26" ht="18.600000000000001" customHeight="1" x14ac:dyDescent="0.35">
      <c r="A305" s="283"/>
      <c r="B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</row>
    <row r="306" spans="1:26" ht="18.600000000000001" customHeight="1" x14ac:dyDescent="0.35">
      <c r="A306" s="283"/>
      <c r="B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</row>
    <row r="307" spans="1:26" ht="18.600000000000001" customHeight="1" x14ac:dyDescent="0.35">
      <c r="A307" s="283"/>
      <c r="B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</row>
    <row r="308" spans="1:26" ht="18.600000000000001" customHeight="1" x14ac:dyDescent="0.35">
      <c r="A308" s="283"/>
      <c r="B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</row>
    <row r="309" spans="1:26" ht="18.600000000000001" customHeight="1" x14ac:dyDescent="0.35">
      <c r="A309" s="283"/>
      <c r="B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</row>
    <row r="310" spans="1:26" ht="18.600000000000001" customHeight="1" x14ac:dyDescent="0.35">
      <c r="A310" s="283"/>
      <c r="B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</row>
    <row r="311" spans="1:26" ht="18.600000000000001" customHeight="1" x14ac:dyDescent="0.35">
      <c r="A311" s="283"/>
      <c r="B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</row>
    <row r="312" spans="1:26" ht="18.600000000000001" customHeight="1" x14ac:dyDescent="0.35">
      <c r="A312" s="283"/>
      <c r="B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</row>
    <row r="313" spans="1:26" ht="18.600000000000001" customHeight="1" x14ac:dyDescent="0.35">
      <c r="A313" s="283"/>
      <c r="B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</row>
    <row r="314" spans="1:26" ht="18.600000000000001" customHeight="1" x14ac:dyDescent="0.35">
      <c r="A314" s="283"/>
      <c r="B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</row>
    <row r="315" spans="1:26" ht="18.600000000000001" customHeight="1" x14ac:dyDescent="0.35">
      <c r="A315" s="283"/>
      <c r="B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</row>
    <row r="316" spans="1:26" ht="18.600000000000001" customHeight="1" x14ac:dyDescent="0.35">
      <c r="A316" s="283"/>
      <c r="B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</row>
    <row r="317" spans="1:26" ht="18.600000000000001" customHeight="1" x14ac:dyDescent="0.35">
      <c r="A317" s="283"/>
      <c r="B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</row>
    <row r="318" spans="1:26" ht="18.600000000000001" customHeight="1" x14ac:dyDescent="0.35">
      <c r="A318" s="283"/>
      <c r="B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</row>
    <row r="319" spans="1:26" ht="18.600000000000001" customHeight="1" x14ac:dyDescent="0.35">
      <c r="A319" s="283"/>
      <c r="B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</row>
    <row r="320" spans="1:26" ht="18.600000000000001" customHeight="1" x14ac:dyDescent="0.35">
      <c r="A320" s="283"/>
      <c r="B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</row>
    <row r="321" spans="1:26" ht="18.600000000000001" customHeight="1" x14ac:dyDescent="0.35">
      <c r="A321" s="283"/>
      <c r="B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</row>
    <row r="322" spans="1:26" ht="18.600000000000001" customHeight="1" x14ac:dyDescent="0.35">
      <c r="A322" s="283"/>
      <c r="B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</row>
    <row r="323" spans="1:26" ht="18.600000000000001" customHeight="1" x14ac:dyDescent="0.35">
      <c r="A323" s="283"/>
      <c r="B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</row>
    <row r="324" spans="1:26" ht="18.600000000000001" customHeight="1" x14ac:dyDescent="0.35">
      <c r="A324" s="283"/>
      <c r="B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</row>
    <row r="325" spans="1:26" ht="18.600000000000001" customHeight="1" x14ac:dyDescent="0.35">
      <c r="A325" s="283"/>
      <c r="B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</row>
    <row r="326" spans="1:26" ht="18.600000000000001" customHeight="1" x14ac:dyDescent="0.35">
      <c r="A326" s="283"/>
      <c r="B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</row>
    <row r="327" spans="1:26" ht="18.600000000000001" customHeight="1" x14ac:dyDescent="0.35">
      <c r="A327" s="283"/>
      <c r="B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</row>
    <row r="328" spans="1:26" ht="18.600000000000001" customHeight="1" x14ac:dyDescent="0.35">
      <c r="A328" s="283"/>
      <c r="B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</row>
    <row r="329" spans="1:26" ht="18.600000000000001" customHeight="1" x14ac:dyDescent="0.35">
      <c r="A329" s="283"/>
      <c r="B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</row>
    <row r="330" spans="1:26" ht="18.600000000000001" customHeight="1" x14ac:dyDescent="0.35">
      <c r="A330" s="283"/>
      <c r="B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</row>
    <row r="331" spans="1:26" ht="18.600000000000001" customHeight="1" x14ac:dyDescent="0.35">
      <c r="A331" s="283"/>
      <c r="B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</row>
    <row r="332" spans="1:26" ht="18.600000000000001" customHeight="1" x14ac:dyDescent="0.35">
      <c r="A332" s="283"/>
      <c r="B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</row>
    <row r="333" spans="1:26" ht="18.600000000000001" customHeight="1" x14ac:dyDescent="0.35">
      <c r="A333" s="283"/>
      <c r="B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</row>
    <row r="334" spans="1:26" ht="18.600000000000001" customHeight="1" x14ac:dyDescent="0.35">
      <c r="A334" s="283"/>
      <c r="B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</row>
    <row r="335" spans="1:26" ht="18.600000000000001" customHeight="1" x14ac:dyDescent="0.35">
      <c r="A335" s="283"/>
      <c r="B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</row>
    <row r="336" spans="1:26" ht="18.600000000000001" customHeight="1" x14ac:dyDescent="0.35">
      <c r="A336" s="283"/>
      <c r="B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</row>
    <row r="337" spans="1:26" ht="18.600000000000001" customHeight="1" x14ac:dyDescent="0.35">
      <c r="A337" s="283"/>
      <c r="B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</row>
    <row r="338" spans="1:26" ht="18.600000000000001" customHeight="1" x14ac:dyDescent="0.35">
      <c r="A338" s="283"/>
      <c r="B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</row>
    <row r="339" spans="1:26" ht="18.600000000000001" customHeight="1" x14ac:dyDescent="0.35">
      <c r="A339" s="283"/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</row>
    <row r="340" spans="1:26" ht="18.600000000000001" customHeight="1" x14ac:dyDescent="0.35">
      <c r="A340" s="283"/>
      <c r="B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</row>
    <row r="341" spans="1:26" ht="18.600000000000001" customHeight="1" x14ac:dyDescent="0.35">
      <c r="A341" s="283"/>
      <c r="B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</row>
    <row r="342" spans="1:26" ht="18.600000000000001" customHeight="1" x14ac:dyDescent="0.35">
      <c r="A342" s="283"/>
      <c r="B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</row>
    <row r="343" spans="1:26" ht="18.600000000000001" customHeight="1" x14ac:dyDescent="0.35">
      <c r="A343" s="283"/>
      <c r="B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</row>
    <row r="344" spans="1:26" ht="18.600000000000001" customHeight="1" x14ac:dyDescent="0.35">
      <c r="A344" s="283"/>
      <c r="B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</row>
    <row r="345" spans="1:26" ht="18.600000000000001" customHeight="1" x14ac:dyDescent="0.35">
      <c r="A345" s="283"/>
      <c r="B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</row>
    <row r="346" spans="1:26" ht="18.600000000000001" customHeight="1" x14ac:dyDescent="0.35">
      <c r="A346" s="283"/>
      <c r="B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</row>
    <row r="347" spans="1:26" ht="18.600000000000001" customHeight="1" x14ac:dyDescent="0.35">
      <c r="A347" s="283"/>
      <c r="B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</row>
    <row r="348" spans="1:26" ht="18.600000000000001" customHeight="1" x14ac:dyDescent="0.35">
      <c r="A348" s="283"/>
      <c r="B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</row>
    <row r="349" spans="1:26" ht="18.600000000000001" customHeight="1" x14ac:dyDescent="0.35">
      <c r="A349" s="283"/>
      <c r="B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</row>
    <row r="350" spans="1:26" ht="18.600000000000001" customHeight="1" x14ac:dyDescent="0.35">
      <c r="A350" s="283"/>
      <c r="B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</row>
    <row r="351" spans="1:26" ht="18.600000000000001" customHeight="1" x14ac:dyDescent="0.35">
      <c r="A351" s="283"/>
      <c r="B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</row>
    <row r="352" spans="1:26" ht="18.600000000000001" customHeight="1" x14ac:dyDescent="0.35">
      <c r="A352" s="283"/>
      <c r="B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</row>
    <row r="353" spans="1:26" ht="18.600000000000001" customHeight="1" x14ac:dyDescent="0.35">
      <c r="A353" s="283"/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</row>
    <row r="354" spans="1:26" ht="18.600000000000001" customHeight="1" x14ac:dyDescent="0.35">
      <c r="A354" s="283"/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</row>
    <row r="355" spans="1:26" ht="18.600000000000001" customHeight="1" x14ac:dyDescent="0.35">
      <c r="A355" s="283"/>
      <c r="B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</row>
    <row r="356" spans="1:26" ht="18.600000000000001" customHeight="1" x14ac:dyDescent="0.35">
      <c r="A356" s="283"/>
      <c r="B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</row>
    <row r="357" spans="1:26" ht="18.600000000000001" customHeight="1" x14ac:dyDescent="0.35">
      <c r="A357" s="283"/>
      <c r="B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</row>
    <row r="358" spans="1:26" ht="18.600000000000001" customHeight="1" x14ac:dyDescent="0.35">
      <c r="A358" s="283"/>
      <c r="B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</row>
    <row r="359" spans="1:26" ht="18.600000000000001" customHeight="1" x14ac:dyDescent="0.35">
      <c r="A359" s="283"/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</row>
    <row r="360" spans="1:26" ht="18.600000000000001" customHeight="1" x14ac:dyDescent="0.35">
      <c r="A360" s="283"/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</row>
    <row r="361" spans="1:26" ht="18.600000000000001" customHeight="1" x14ac:dyDescent="0.35">
      <c r="A361" s="283"/>
      <c r="B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</row>
    <row r="362" spans="1:26" ht="18.600000000000001" customHeight="1" x14ac:dyDescent="0.35">
      <c r="A362" s="283"/>
      <c r="B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</row>
    <row r="363" spans="1:26" ht="18.600000000000001" customHeight="1" x14ac:dyDescent="0.35">
      <c r="A363" s="283"/>
      <c r="B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</row>
    <row r="364" spans="1:26" ht="18.600000000000001" customHeight="1" x14ac:dyDescent="0.35">
      <c r="A364" s="283"/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</row>
    <row r="365" spans="1:26" ht="18.600000000000001" customHeight="1" x14ac:dyDescent="0.35">
      <c r="A365" s="283"/>
      <c r="B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</row>
    <row r="366" spans="1:26" ht="18.600000000000001" customHeight="1" x14ac:dyDescent="0.35">
      <c r="A366" s="283"/>
      <c r="B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</row>
    <row r="367" spans="1:26" ht="18.600000000000001" customHeight="1" x14ac:dyDescent="0.35">
      <c r="A367" s="283"/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</row>
    <row r="368" spans="1:26" ht="18.600000000000001" customHeight="1" x14ac:dyDescent="0.35">
      <c r="A368" s="283"/>
      <c r="B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</row>
    <row r="369" spans="1:26" ht="18.600000000000001" customHeight="1" x14ac:dyDescent="0.35">
      <c r="A369" s="283"/>
      <c r="B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</row>
    <row r="370" spans="1:26" ht="18.600000000000001" customHeight="1" x14ac:dyDescent="0.35">
      <c r="A370" s="283"/>
      <c r="B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</row>
    <row r="371" spans="1:26" ht="18.600000000000001" customHeight="1" x14ac:dyDescent="0.35">
      <c r="A371" s="283"/>
      <c r="B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</row>
    <row r="372" spans="1:26" ht="18.600000000000001" customHeight="1" x14ac:dyDescent="0.35">
      <c r="A372" s="283"/>
      <c r="B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</row>
    <row r="373" spans="1:26" ht="18.600000000000001" customHeight="1" x14ac:dyDescent="0.35">
      <c r="A373" s="283"/>
      <c r="B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</row>
    <row r="374" spans="1:26" ht="18.600000000000001" customHeight="1" x14ac:dyDescent="0.35">
      <c r="A374" s="283"/>
      <c r="B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</row>
    <row r="375" spans="1:26" ht="18.600000000000001" customHeight="1" x14ac:dyDescent="0.35">
      <c r="A375" s="283"/>
      <c r="B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</row>
    <row r="376" spans="1:26" ht="18.600000000000001" customHeight="1" x14ac:dyDescent="0.35">
      <c r="A376" s="283"/>
      <c r="B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</row>
    <row r="377" spans="1:26" ht="18.600000000000001" customHeight="1" x14ac:dyDescent="0.35">
      <c r="A377" s="283"/>
      <c r="B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</row>
    <row r="378" spans="1:26" ht="18.600000000000001" customHeight="1" x14ac:dyDescent="0.35">
      <c r="A378" s="283"/>
      <c r="B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</row>
    <row r="379" spans="1:26" ht="18.600000000000001" customHeight="1" x14ac:dyDescent="0.35">
      <c r="A379" s="283"/>
      <c r="B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</row>
    <row r="380" spans="1:26" ht="18.600000000000001" customHeight="1" x14ac:dyDescent="0.35">
      <c r="A380" s="283"/>
      <c r="B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</row>
    <row r="381" spans="1:26" ht="18.600000000000001" customHeight="1" x14ac:dyDescent="0.35">
      <c r="A381" s="283"/>
      <c r="B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</row>
    <row r="382" spans="1:26" ht="18.600000000000001" customHeight="1" x14ac:dyDescent="0.35">
      <c r="A382" s="283"/>
      <c r="B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</row>
    <row r="383" spans="1:26" ht="18.600000000000001" customHeight="1" x14ac:dyDescent="0.35">
      <c r="A383" s="283"/>
      <c r="B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</row>
    <row r="384" spans="1:26" ht="18.600000000000001" customHeight="1" x14ac:dyDescent="0.35">
      <c r="A384" s="283"/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</row>
    <row r="385" spans="1:26" ht="18.600000000000001" customHeight="1" x14ac:dyDescent="0.35">
      <c r="A385" s="283"/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</row>
    <row r="386" spans="1:26" ht="18.600000000000001" customHeight="1" x14ac:dyDescent="0.35">
      <c r="A386" s="283"/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</row>
    <row r="387" spans="1:26" ht="18.600000000000001" customHeight="1" x14ac:dyDescent="0.35">
      <c r="A387" s="283"/>
      <c r="B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</row>
    <row r="388" spans="1:26" ht="18.600000000000001" customHeight="1" x14ac:dyDescent="0.35">
      <c r="A388" s="283"/>
      <c r="B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</row>
    <row r="389" spans="1:26" ht="18.600000000000001" customHeight="1" x14ac:dyDescent="0.35">
      <c r="A389" s="283"/>
      <c r="B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</row>
    <row r="390" spans="1:26" ht="18.600000000000001" customHeight="1" x14ac:dyDescent="0.35">
      <c r="A390" s="283"/>
      <c r="B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</row>
    <row r="391" spans="1:26" ht="18.600000000000001" customHeight="1" x14ac:dyDescent="0.35">
      <c r="A391" s="283"/>
      <c r="B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</row>
    <row r="392" spans="1:26" ht="18.600000000000001" customHeight="1" x14ac:dyDescent="0.35">
      <c r="A392" s="283"/>
      <c r="B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</row>
    <row r="393" spans="1:26" ht="18.600000000000001" customHeight="1" x14ac:dyDescent="0.35">
      <c r="A393" s="283"/>
      <c r="B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</row>
    <row r="394" spans="1:26" ht="18.600000000000001" customHeight="1" x14ac:dyDescent="0.35">
      <c r="A394" s="283"/>
      <c r="B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</row>
    <row r="395" spans="1:26" ht="18.600000000000001" customHeight="1" x14ac:dyDescent="0.35">
      <c r="A395" s="283"/>
      <c r="B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</row>
    <row r="396" spans="1:26" ht="18.600000000000001" customHeight="1" x14ac:dyDescent="0.35">
      <c r="A396" s="283"/>
      <c r="B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</row>
    <row r="397" spans="1:26" ht="18.600000000000001" customHeight="1" x14ac:dyDescent="0.35">
      <c r="A397" s="283"/>
      <c r="B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</row>
    <row r="398" spans="1:26" ht="18.600000000000001" customHeight="1" x14ac:dyDescent="0.35">
      <c r="A398" s="283"/>
      <c r="B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</row>
    <row r="399" spans="1:26" ht="18.600000000000001" customHeight="1" x14ac:dyDescent="0.35">
      <c r="A399" s="283"/>
      <c r="B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</row>
    <row r="400" spans="1:26" ht="18.600000000000001" customHeight="1" x14ac:dyDescent="0.35">
      <c r="A400" s="283"/>
      <c r="B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</row>
    <row r="401" spans="1:26" ht="18.600000000000001" customHeight="1" x14ac:dyDescent="0.35">
      <c r="A401" s="283"/>
      <c r="B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</row>
    <row r="402" spans="1:26" ht="18.600000000000001" customHeight="1" x14ac:dyDescent="0.35">
      <c r="A402" s="283"/>
      <c r="B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</row>
    <row r="403" spans="1:26" ht="18.600000000000001" customHeight="1" x14ac:dyDescent="0.35">
      <c r="A403" s="283"/>
      <c r="B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</row>
    <row r="404" spans="1:26" ht="18.600000000000001" customHeight="1" x14ac:dyDescent="0.35">
      <c r="A404" s="283"/>
      <c r="B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</row>
    <row r="405" spans="1:26" ht="18.600000000000001" customHeight="1" x14ac:dyDescent="0.35">
      <c r="A405" s="283"/>
      <c r="B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</row>
    <row r="406" spans="1:26" ht="18.600000000000001" customHeight="1" x14ac:dyDescent="0.35">
      <c r="A406" s="283"/>
      <c r="B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</row>
    <row r="407" spans="1:26" ht="18.600000000000001" customHeight="1" x14ac:dyDescent="0.35">
      <c r="A407" s="283"/>
      <c r="B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</row>
    <row r="408" spans="1:26" ht="18.600000000000001" customHeight="1" x14ac:dyDescent="0.35">
      <c r="A408" s="283"/>
      <c r="B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</row>
    <row r="409" spans="1:26" ht="18.600000000000001" customHeight="1" x14ac:dyDescent="0.35">
      <c r="A409" s="283"/>
      <c r="B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</row>
    <row r="410" spans="1:26" ht="18.600000000000001" customHeight="1" x14ac:dyDescent="0.35">
      <c r="A410" s="283"/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</row>
    <row r="411" spans="1:26" ht="18.600000000000001" customHeight="1" x14ac:dyDescent="0.35">
      <c r="A411" s="283"/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</row>
    <row r="412" spans="1:26" ht="18.600000000000001" customHeight="1" x14ac:dyDescent="0.35">
      <c r="A412" s="283"/>
      <c r="B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</row>
    <row r="413" spans="1:26" ht="18.600000000000001" customHeight="1" x14ac:dyDescent="0.35">
      <c r="A413" s="283"/>
      <c r="B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</row>
    <row r="414" spans="1:26" ht="18.600000000000001" customHeight="1" x14ac:dyDescent="0.35">
      <c r="A414" s="283"/>
      <c r="B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</row>
    <row r="415" spans="1:26" ht="18.600000000000001" customHeight="1" x14ac:dyDescent="0.35">
      <c r="A415" s="283"/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</row>
    <row r="416" spans="1:26" ht="18.600000000000001" customHeight="1" x14ac:dyDescent="0.35">
      <c r="A416" s="283"/>
      <c r="B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</row>
    <row r="417" spans="1:26" ht="18.600000000000001" customHeight="1" x14ac:dyDescent="0.35">
      <c r="A417" s="283"/>
      <c r="B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</row>
    <row r="418" spans="1:26" ht="18.600000000000001" customHeight="1" x14ac:dyDescent="0.35">
      <c r="A418" s="283"/>
      <c r="B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</row>
    <row r="419" spans="1:26" ht="18.600000000000001" customHeight="1" x14ac:dyDescent="0.35">
      <c r="A419" s="283"/>
      <c r="B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</row>
    <row r="420" spans="1:26" ht="18.600000000000001" customHeight="1" x14ac:dyDescent="0.35">
      <c r="A420" s="283"/>
      <c r="B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</row>
    <row r="421" spans="1:26" ht="18.600000000000001" customHeight="1" x14ac:dyDescent="0.35">
      <c r="A421" s="283"/>
      <c r="B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</row>
    <row r="422" spans="1:26" ht="18.600000000000001" customHeight="1" x14ac:dyDescent="0.35">
      <c r="A422" s="283"/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</row>
    <row r="423" spans="1:26" ht="18.600000000000001" customHeight="1" x14ac:dyDescent="0.35">
      <c r="A423" s="283"/>
      <c r="B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</row>
    <row r="424" spans="1:26" ht="18.600000000000001" customHeight="1" x14ac:dyDescent="0.35">
      <c r="A424" s="283"/>
      <c r="B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</row>
    <row r="425" spans="1:26" ht="18.600000000000001" customHeight="1" x14ac:dyDescent="0.35">
      <c r="A425" s="283"/>
      <c r="B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</row>
    <row r="426" spans="1:26" ht="18.600000000000001" customHeight="1" x14ac:dyDescent="0.35">
      <c r="A426" s="283"/>
      <c r="B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</row>
    <row r="427" spans="1:26" ht="18.600000000000001" customHeight="1" x14ac:dyDescent="0.35">
      <c r="A427" s="283"/>
      <c r="B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</row>
    <row r="428" spans="1:26" ht="18.600000000000001" customHeight="1" x14ac:dyDescent="0.35">
      <c r="A428" s="283"/>
      <c r="B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</row>
    <row r="429" spans="1:26" ht="18.600000000000001" customHeight="1" x14ac:dyDescent="0.35">
      <c r="A429" s="283"/>
      <c r="B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</row>
    <row r="430" spans="1:26" ht="18.600000000000001" customHeight="1" x14ac:dyDescent="0.35">
      <c r="A430" s="283"/>
      <c r="B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</row>
    <row r="431" spans="1:26" ht="18.600000000000001" customHeight="1" x14ac:dyDescent="0.35">
      <c r="A431" s="283"/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</row>
    <row r="432" spans="1:26" ht="18.600000000000001" customHeight="1" x14ac:dyDescent="0.35">
      <c r="A432" s="283"/>
      <c r="B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</row>
    <row r="433" spans="1:26" ht="18.600000000000001" customHeight="1" x14ac:dyDescent="0.35">
      <c r="A433" s="283"/>
      <c r="B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</row>
    <row r="434" spans="1:26" ht="18.600000000000001" customHeight="1" x14ac:dyDescent="0.35">
      <c r="A434" s="283"/>
      <c r="B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</row>
    <row r="435" spans="1:26" ht="18.600000000000001" customHeight="1" x14ac:dyDescent="0.35">
      <c r="A435" s="283"/>
      <c r="B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</row>
    <row r="436" spans="1:26" ht="18.600000000000001" customHeight="1" x14ac:dyDescent="0.35">
      <c r="A436" s="283"/>
      <c r="B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</row>
    <row r="437" spans="1:26" ht="18.600000000000001" customHeight="1" x14ac:dyDescent="0.35">
      <c r="A437" s="283"/>
      <c r="B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</row>
    <row r="438" spans="1:26" ht="18.600000000000001" customHeight="1" x14ac:dyDescent="0.35">
      <c r="A438" s="283"/>
      <c r="B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</row>
    <row r="439" spans="1:26" ht="18.600000000000001" customHeight="1" x14ac:dyDescent="0.35">
      <c r="A439" s="283"/>
      <c r="B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</row>
    <row r="440" spans="1:26" ht="18.600000000000001" customHeight="1" x14ac:dyDescent="0.35">
      <c r="A440" s="283"/>
      <c r="B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</row>
    <row r="441" spans="1:26" ht="18.600000000000001" customHeight="1" x14ac:dyDescent="0.35">
      <c r="A441" s="283"/>
      <c r="B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</row>
    <row r="442" spans="1:26" ht="18.600000000000001" customHeight="1" x14ac:dyDescent="0.35">
      <c r="A442" s="283"/>
      <c r="B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</row>
    <row r="443" spans="1:26" ht="18.600000000000001" customHeight="1" x14ac:dyDescent="0.35">
      <c r="A443" s="283"/>
      <c r="B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</row>
    <row r="444" spans="1:26" ht="18.600000000000001" customHeight="1" x14ac:dyDescent="0.35">
      <c r="A444" s="283"/>
      <c r="B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</row>
    <row r="445" spans="1:26" ht="18.600000000000001" customHeight="1" x14ac:dyDescent="0.35">
      <c r="A445" s="283"/>
      <c r="B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</row>
    <row r="446" spans="1:26" ht="18.600000000000001" customHeight="1" x14ac:dyDescent="0.35">
      <c r="A446" s="283"/>
      <c r="B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</row>
    <row r="447" spans="1:26" ht="18.600000000000001" customHeight="1" x14ac:dyDescent="0.35">
      <c r="A447" s="283"/>
      <c r="B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</row>
    <row r="448" spans="1:26" ht="18.600000000000001" customHeight="1" x14ac:dyDescent="0.35">
      <c r="A448" s="283"/>
      <c r="B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</row>
    <row r="449" spans="1:26" ht="18.600000000000001" customHeight="1" x14ac:dyDescent="0.35">
      <c r="A449" s="283"/>
      <c r="B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</row>
    <row r="450" spans="1:26" ht="18.600000000000001" customHeight="1" x14ac:dyDescent="0.35">
      <c r="A450" s="283"/>
      <c r="B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</row>
    <row r="451" spans="1:26" ht="18.600000000000001" customHeight="1" x14ac:dyDescent="0.35">
      <c r="A451" s="283"/>
      <c r="B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</row>
    <row r="452" spans="1:26" ht="18.600000000000001" customHeight="1" x14ac:dyDescent="0.35">
      <c r="A452" s="283"/>
      <c r="B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</row>
    <row r="453" spans="1:26" ht="18.600000000000001" customHeight="1" x14ac:dyDescent="0.35">
      <c r="A453" s="283"/>
      <c r="B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</row>
    <row r="454" spans="1:26" ht="18.600000000000001" customHeight="1" x14ac:dyDescent="0.35">
      <c r="A454" s="283"/>
      <c r="B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</row>
    <row r="455" spans="1:26" ht="18.600000000000001" customHeight="1" x14ac:dyDescent="0.35">
      <c r="A455" s="283"/>
      <c r="B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</row>
    <row r="456" spans="1:26" ht="18.600000000000001" customHeight="1" x14ac:dyDescent="0.35">
      <c r="A456" s="283"/>
      <c r="B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</row>
    <row r="457" spans="1:26" ht="18.600000000000001" customHeight="1" x14ac:dyDescent="0.35">
      <c r="A457" s="283"/>
      <c r="B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</row>
    <row r="458" spans="1:26" ht="18.600000000000001" customHeight="1" x14ac:dyDescent="0.35">
      <c r="A458" s="283"/>
      <c r="B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</row>
    <row r="459" spans="1:26" ht="18.600000000000001" customHeight="1" x14ac:dyDescent="0.35">
      <c r="A459" s="283"/>
      <c r="B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</row>
    <row r="460" spans="1:26" ht="18.600000000000001" customHeight="1" x14ac:dyDescent="0.35">
      <c r="A460" s="283"/>
      <c r="B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</row>
    <row r="461" spans="1:26" ht="18.600000000000001" customHeight="1" x14ac:dyDescent="0.35">
      <c r="A461" s="283"/>
      <c r="B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</row>
    <row r="462" spans="1:26" ht="18.600000000000001" customHeight="1" x14ac:dyDescent="0.35">
      <c r="A462" s="283"/>
      <c r="B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</row>
    <row r="463" spans="1:26" ht="18.600000000000001" customHeight="1" x14ac:dyDescent="0.35">
      <c r="A463" s="283"/>
      <c r="B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</row>
    <row r="464" spans="1:26" ht="18.600000000000001" customHeight="1" x14ac:dyDescent="0.35">
      <c r="A464" s="283"/>
      <c r="B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</row>
    <row r="465" spans="1:26" ht="18.600000000000001" customHeight="1" x14ac:dyDescent="0.35">
      <c r="A465" s="283"/>
      <c r="B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</row>
    <row r="466" spans="1:26" ht="18.600000000000001" customHeight="1" x14ac:dyDescent="0.35">
      <c r="A466" s="283"/>
      <c r="B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</row>
    <row r="467" spans="1:26" ht="18.600000000000001" customHeight="1" x14ac:dyDescent="0.35">
      <c r="A467" s="283"/>
      <c r="B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</row>
    <row r="468" spans="1:26" ht="18.600000000000001" customHeight="1" x14ac:dyDescent="0.35">
      <c r="A468" s="283"/>
      <c r="B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</row>
    <row r="469" spans="1:26" ht="18.600000000000001" customHeight="1" x14ac:dyDescent="0.35">
      <c r="A469" s="283"/>
      <c r="B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</row>
    <row r="470" spans="1:26" ht="18.600000000000001" customHeight="1" x14ac:dyDescent="0.35">
      <c r="A470" s="283"/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</row>
    <row r="471" spans="1:26" ht="18.600000000000001" customHeight="1" x14ac:dyDescent="0.35">
      <c r="A471" s="283"/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</row>
    <row r="472" spans="1:26" ht="18.600000000000001" customHeight="1" x14ac:dyDescent="0.35">
      <c r="A472" s="283"/>
      <c r="B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</row>
    <row r="473" spans="1:26" ht="18.600000000000001" customHeight="1" x14ac:dyDescent="0.35">
      <c r="A473" s="283"/>
      <c r="B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</row>
    <row r="474" spans="1:26" ht="18.600000000000001" customHeight="1" x14ac:dyDescent="0.35">
      <c r="A474" s="283"/>
      <c r="B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</row>
    <row r="475" spans="1:26" ht="18.600000000000001" customHeight="1" x14ac:dyDescent="0.35">
      <c r="A475" s="283"/>
      <c r="B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</row>
    <row r="476" spans="1:26" ht="18.600000000000001" customHeight="1" x14ac:dyDescent="0.35">
      <c r="A476" s="283"/>
      <c r="B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</row>
    <row r="477" spans="1:26" ht="18.600000000000001" customHeight="1" x14ac:dyDescent="0.35">
      <c r="A477" s="283"/>
      <c r="B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</row>
    <row r="478" spans="1:26" ht="18.600000000000001" customHeight="1" x14ac:dyDescent="0.35">
      <c r="A478" s="283"/>
      <c r="B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</row>
    <row r="479" spans="1:26" ht="18.600000000000001" customHeight="1" x14ac:dyDescent="0.35">
      <c r="A479" s="283"/>
      <c r="B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</row>
    <row r="480" spans="1:26" ht="18.600000000000001" customHeight="1" x14ac:dyDescent="0.35">
      <c r="A480" s="283"/>
      <c r="B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</row>
    <row r="481" spans="1:26" ht="18.600000000000001" customHeight="1" x14ac:dyDescent="0.35">
      <c r="A481" s="283"/>
      <c r="B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</row>
    <row r="482" spans="1:26" ht="18.600000000000001" customHeight="1" x14ac:dyDescent="0.35">
      <c r="A482" s="283"/>
      <c r="B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</row>
    <row r="483" spans="1:26" ht="18.600000000000001" customHeight="1" x14ac:dyDescent="0.35">
      <c r="A483" s="283"/>
      <c r="B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</row>
    <row r="484" spans="1:26" ht="18.600000000000001" customHeight="1" x14ac:dyDescent="0.35">
      <c r="A484" s="283"/>
      <c r="B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</row>
    <row r="485" spans="1:26" ht="18.600000000000001" customHeight="1" x14ac:dyDescent="0.35">
      <c r="A485" s="283"/>
      <c r="B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</row>
    <row r="486" spans="1:26" ht="18.600000000000001" customHeight="1" x14ac:dyDescent="0.35">
      <c r="A486" s="283"/>
      <c r="B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</row>
    <row r="487" spans="1:26" ht="18.600000000000001" customHeight="1" x14ac:dyDescent="0.35">
      <c r="A487" s="283"/>
      <c r="B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</row>
    <row r="488" spans="1:26" ht="18.600000000000001" customHeight="1" x14ac:dyDescent="0.35">
      <c r="A488" s="283"/>
      <c r="B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</row>
    <row r="489" spans="1:26" ht="18.600000000000001" customHeight="1" x14ac:dyDescent="0.35">
      <c r="A489" s="283"/>
      <c r="B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</row>
    <row r="490" spans="1:26" ht="18.600000000000001" customHeight="1" x14ac:dyDescent="0.35">
      <c r="A490" s="283"/>
      <c r="B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</row>
    <row r="491" spans="1:26" ht="18.600000000000001" customHeight="1" x14ac:dyDescent="0.35">
      <c r="A491" s="283"/>
      <c r="B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</row>
    <row r="492" spans="1:26" ht="18.600000000000001" customHeight="1" x14ac:dyDescent="0.35">
      <c r="A492" s="283"/>
      <c r="B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</row>
    <row r="493" spans="1:26" ht="18.600000000000001" customHeight="1" x14ac:dyDescent="0.35">
      <c r="A493" s="283"/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</row>
    <row r="494" spans="1:26" ht="18.600000000000001" customHeight="1" x14ac:dyDescent="0.35">
      <c r="A494" s="283"/>
      <c r="B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</row>
    <row r="495" spans="1:26" ht="18.600000000000001" customHeight="1" x14ac:dyDescent="0.35">
      <c r="A495" s="283"/>
      <c r="B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</row>
    <row r="496" spans="1:26" ht="18.600000000000001" customHeight="1" x14ac:dyDescent="0.35">
      <c r="A496" s="283"/>
      <c r="B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</row>
    <row r="497" spans="1:26" ht="18.600000000000001" customHeight="1" x14ac:dyDescent="0.35">
      <c r="A497" s="283"/>
      <c r="B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</row>
    <row r="498" spans="1:26" ht="18.600000000000001" customHeight="1" x14ac:dyDescent="0.35">
      <c r="A498" s="283"/>
      <c r="B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</row>
    <row r="499" spans="1:26" ht="18.600000000000001" customHeight="1" x14ac:dyDescent="0.35">
      <c r="A499" s="283"/>
      <c r="B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</row>
    <row r="500" spans="1:26" ht="18.600000000000001" customHeight="1" x14ac:dyDescent="0.35">
      <c r="A500" s="283"/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</row>
    <row r="501" spans="1:26" ht="18.600000000000001" customHeight="1" x14ac:dyDescent="0.35">
      <c r="A501" s="283"/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</row>
    <row r="502" spans="1:26" ht="18.600000000000001" customHeight="1" x14ac:dyDescent="0.35">
      <c r="A502" s="283"/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</row>
    <row r="503" spans="1:26" ht="18.600000000000001" customHeight="1" x14ac:dyDescent="0.35">
      <c r="A503" s="283"/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</row>
    <row r="504" spans="1:26" ht="18.600000000000001" customHeight="1" x14ac:dyDescent="0.35">
      <c r="A504" s="283"/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</row>
    <row r="505" spans="1:26" ht="18.600000000000001" customHeight="1" x14ac:dyDescent="0.35">
      <c r="A505" s="283"/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</row>
    <row r="506" spans="1:26" ht="18.600000000000001" customHeight="1" x14ac:dyDescent="0.35">
      <c r="A506" s="283"/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</row>
    <row r="507" spans="1:26" ht="18.600000000000001" customHeight="1" x14ac:dyDescent="0.35">
      <c r="A507" s="283"/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</row>
    <row r="508" spans="1:26" ht="18.600000000000001" customHeight="1" x14ac:dyDescent="0.35">
      <c r="A508" s="283"/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</row>
    <row r="509" spans="1:26" ht="18.600000000000001" customHeight="1" x14ac:dyDescent="0.35">
      <c r="A509" s="283"/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</row>
    <row r="510" spans="1:26" ht="18.600000000000001" customHeight="1" x14ac:dyDescent="0.35">
      <c r="A510" s="283"/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</row>
    <row r="511" spans="1:26" ht="18.600000000000001" customHeight="1" x14ac:dyDescent="0.35">
      <c r="A511" s="283"/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</row>
    <row r="512" spans="1:26" ht="18.600000000000001" customHeight="1" x14ac:dyDescent="0.35">
      <c r="A512" s="283"/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</row>
    <row r="513" spans="1:26" ht="18.600000000000001" customHeight="1" x14ac:dyDescent="0.35">
      <c r="A513" s="283"/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</row>
    <row r="514" spans="1:26" ht="18.600000000000001" customHeight="1" x14ac:dyDescent="0.35">
      <c r="A514" s="283"/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</row>
    <row r="515" spans="1:26" ht="18.600000000000001" customHeight="1" x14ac:dyDescent="0.35">
      <c r="A515" s="283"/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</row>
    <row r="516" spans="1:26" ht="18.600000000000001" customHeight="1" x14ac:dyDescent="0.35">
      <c r="A516" s="283"/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</row>
    <row r="517" spans="1:26" ht="18.600000000000001" customHeight="1" x14ac:dyDescent="0.35">
      <c r="A517" s="283"/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</row>
    <row r="518" spans="1:26" ht="18.600000000000001" customHeight="1" x14ac:dyDescent="0.35">
      <c r="A518" s="283"/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</row>
    <row r="519" spans="1:26" ht="18.600000000000001" customHeight="1" x14ac:dyDescent="0.35">
      <c r="A519" s="283"/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</row>
    <row r="520" spans="1:26" ht="18.600000000000001" customHeight="1" x14ac:dyDescent="0.35">
      <c r="A520" s="283"/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</row>
    <row r="521" spans="1:26" ht="18.600000000000001" customHeight="1" x14ac:dyDescent="0.35">
      <c r="A521" s="283"/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</row>
    <row r="522" spans="1:26" ht="18.600000000000001" customHeight="1" x14ac:dyDescent="0.35">
      <c r="A522" s="283"/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</row>
    <row r="523" spans="1:26" ht="18.600000000000001" customHeight="1" x14ac:dyDescent="0.35">
      <c r="A523" s="283"/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</row>
    <row r="524" spans="1:26" ht="18.600000000000001" customHeight="1" x14ac:dyDescent="0.35">
      <c r="A524" s="283"/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</row>
    <row r="525" spans="1:26" ht="18.600000000000001" customHeight="1" x14ac:dyDescent="0.35">
      <c r="A525" s="283"/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</row>
    <row r="526" spans="1:26" ht="18.600000000000001" customHeight="1" x14ac:dyDescent="0.35">
      <c r="A526" s="283"/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</row>
    <row r="527" spans="1:26" ht="18.600000000000001" customHeight="1" x14ac:dyDescent="0.35">
      <c r="A527" s="283"/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</row>
    <row r="528" spans="1:26" ht="18.600000000000001" customHeight="1" x14ac:dyDescent="0.35">
      <c r="A528" s="283"/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</row>
    <row r="529" spans="1:26" ht="18.600000000000001" customHeight="1" x14ac:dyDescent="0.35">
      <c r="A529" s="283"/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</row>
    <row r="530" spans="1:26" ht="18.600000000000001" customHeight="1" x14ac:dyDescent="0.35">
      <c r="A530" s="283"/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</row>
    <row r="531" spans="1:26" ht="18.600000000000001" customHeight="1" x14ac:dyDescent="0.35">
      <c r="A531" s="283"/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</row>
    <row r="532" spans="1:26" ht="18.600000000000001" customHeight="1" x14ac:dyDescent="0.35">
      <c r="A532" s="283"/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</row>
    <row r="533" spans="1:26" ht="18.600000000000001" customHeight="1" x14ac:dyDescent="0.35">
      <c r="A533" s="283"/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</row>
    <row r="534" spans="1:26" ht="18.600000000000001" customHeight="1" x14ac:dyDescent="0.35">
      <c r="A534" s="283"/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</row>
    <row r="535" spans="1:26" ht="18.600000000000001" customHeight="1" x14ac:dyDescent="0.35">
      <c r="A535" s="283"/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</row>
    <row r="536" spans="1:26" ht="18.600000000000001" customHeight="1" x14ac:dyDescent="0.35">
      <c r="A536" s="283"/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</row>
    <row r="537" spans="1:26" ht="18.600000000000001" customHeight="1" x14ac:dyDescent="0.35">
      <c r="A537" s="283"/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</row>
    <row r="538" spans="1:26" ht="18.600000000000001" customHeight="1" x14ac:dyDescent="0.35">
      <c r="A538" s="283"/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</row>
    <row r="539" spans="1:26" ht="18.600000000000001" customHeight="1" x14ac:dyDescent="0.35">
      <c r="A539" s="283"/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</row>
    <row r="540" spans="1:26" ht="18.600000000000001" customHeight="1" x14ac:dyDescent="0.35">
      <c r="A540" s="283"/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</row>
    <row r="541" spans="1:26" ht="18.600000000000001" customHeight="1" x14ac:dyDescent="0.35">
      <c r="A541" s="283"/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</row>
    <row r="542" spans="1:26" ht="18.600000000000001" customHeight="1" x14ac:dyDescent="0.35">
      <c r="A542" s="283"/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</row>
    <row r="543" spans="1:26" ht="18.600000000000001" customHeight="1" x14ac:dyDescent="0.35">
      <c r="A543" s="283"/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</row>
    <row r="544" spans="1:26" ht="18.600000000000001" customHeight="1" x14ac:dyDescent="0.35">
      <c r="A544" s="283"/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</row>
    <row r="545" spans="1:26" ht="18.600000000000001" customHeight="1" x14ac:dyDescent="0.35">
      <c r="A545" s="283"/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</row>
    <row r="546" spans="1:26" ht="18.600000000000001" customHeight="1" x14ac:dyDescent="0.35">
      <c r="A546" s="283"/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</row>
    <row r="547" spans="1:26" ht="18.600000000000001" customHeight="1" x14ac:dyDescent="0.35">
      <c r="A547" s="283"/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</row>
    <row r="548" spans="1:26" ht="18.600000000000001" customHeight="1" x14ac:dyDescent="0.35">
      <c r="A548" s="283"/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</row>
    <row r="549" spans="1:26" ht="18.600000000000001" customHeight="1" x14ac:dyDescent="0.35">
      <c r="A549" s="283"/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</row>
    <row r="550" spans="1:26" ht="18.600000000000001" customHeight="1" x14ac:dyDescent="0.35">
      <c r="A550" s="283"/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</row>
    <row r="551" spans="1:26" ht="18.600000000000001" customHeight="1" x14ac:dyDescent="0.35">
      <c r="A551" s="283"/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</row>
    <row r="552" spans="1:26" ht="18.600000000000001" customHeight="1" x14ac:dyDescent="0.35">
      <c r="A552" s="283"/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</row>
    <row r="553" spans="1:26" ht="18.600000000000001" customHeight="1" x14ac:dyDescent="0.35">
      <c r="A553" s="283"/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</row>
    <row r="554" spans="1:26" ht="18.600000000000001" customHeight="1" x14ac:dyDescent="0.35">
      <c r="A554" s="283"/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</row>
    <row r="555" spans="1:26" ht="18.600000000000001" customHeight="1" x14ac:dyDescent="0.35">
      <c r="A555" s="283"/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</row>
    <row r="556" spans="1:26" ht="18.600000000000001" customHeight="1" x14ac:dyDescent="0.35">
      <c r="A556" s="283"/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</row>
    <row r="557" spans="1:26" ht="18.600000000000001" customHeight="1" x14ac:dyDescent="0.35">
      <c r="A557" s="283"/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</row>
    <row r="558" spans="1:26" ht="18.600000000000001" customHeight="1" x14ac:dyDescent="0.35">
      <c r="A558" s="283"/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</row>
    <row r="559" spans="1:26" ht="18.600000000000001" customHeight="1" x14ac:dyDescent="0.35">
      <c r="A559" s="283"/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</row>
    <row r="560" spans="1:26" ht="18.600000000000001" customHeight="1" x14ac:dyDescent="0.35">
      <c r="A560" s="283"/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</row>
    <row r="561" spans="1:26" ht="18.600000000000001" customHeight="1" x14ac:dyDescent="0.35">
      <c r="A561" s="283"/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</row>
    <row r="562" spans="1:26" ht="18.600000000000001" customHeight="1" x14ac:dyDescent="0.35">
      <c r="A562" s="283"/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</row>
    <row r="563" spans="1:26" ht="18.600000000000001" customHeight="1" x14ac:dyDescent="0.35">
      <c r="A563" s="283"/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</row>
    <row r="564" spans="1:26" ht="18.600000000000001" customHeight="1" x14ac:dyDescent="0.35">
      <c r="A564" s="283"/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</row>
    <row r="565" spans="1:26" ht="18.600000000000001" customHeight="1" x14ac:dyDescent="0.35">
      <c r="A565" s="283"/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</row>
    <row r="566" spans="1:26" ht="18.600000000000001" customHeight="1" x14ac:dyDescent="0.35">
      <c r="A566" s="283"/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</row>
    <row r="567" spans="1:26" ht="18.600000000000001" customHeight="1" x14ac:dyDescent="0.35">
      <c r="A567" s="283"/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</row>
    <row r="568" spans="1:26" ht="18.600000000000001" customHeight="1" x14ac:dyDescent="0.35">
      <c r="A568" s="283"/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</row>
    <row r="569" spans="1:26" ht="18.600000000000001" customHeight="1" x14ac:dyDescent="0.35">
      <c r="A569" s="283"/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</row>
    <row r="570" spans="1:26" ht="18.600000000000001" customHeight="1" x14ac:dyDescent="0.35">
      <c r="A570" s="283"/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</row>
    <row r="571" spans="1:26" ht="18.600000000000001" customHeight="1" x14ac:dyDescent="0.35">
      <c r="A571" s="283"/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</row>
    <row r="572" spans="1:26" ht="18.600000000000001" customHeight="1" x14ac:dyDescent="0.35">
      <c r="A572" s="283"/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</row>
    <row r="573" spans="1:26" ht="18.600000000000001" customHeight="1" x14ac:dyDescent="0.35">
      <c r="A573" s="283"/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</row>
    <row r="574" spans="1:26" ht="18.600000000000001" customHeight="1" x14ac:dyDescent="0.35">
      <c r="A574" s="283"/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</row>
    <row r="575" spans="1:26" ht="18.600000000000001" customHeight="1" x14ac:dyDescent="0.35">
      <c r="A575" s="283"/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</row>
    <row r="576" spans="1:26" ht="18.600000000000001" customHeight="1" x14ac:dyDescent="0.35">
      <c r="A576" s="283"/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</row>
    <row r="577" spans="1:26" ht="18.600000000000001" customHeight="1" x14ac:dyDescent="0.35">
      <c r="A577" s="283"/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</row>
    <row r="578" spans="1:26" ht="18.600000000000001" customHeight="1" x14ac:dyDescent="0.35">
      <c r="A578" s="283"/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</row>
    <row r="579" spans="1:26" ht="18.600000000000001" customHeight="1" x14ac:dyDescent="0.35">
      <c r="A579" s="283"/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</row>
    <row r="580" spans="1:26" ht="18.600000000000001" customHeight="1" x14ac:dyDescent="0.35">
      <c r="A580" s="283"/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</row>
    <row r="581" spans="1:26" ht="18.600000000000001" customHeight="1" x14ac:dyDescent="0.35">
      <c r="A581" s="283"/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</row>
    <row r="582" spans="1:26" ht="18.600000000000001" customHeight="1" x14ac:dyDescent="0.35">
      <c r="A582" s="283"/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</row>
    <row r="583" spans="1:26" ht="18.600000000000001" customHeight="1" x14ac:dyDescent="0.35">
      <c r="A583" s="283"/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</row>
    <row r="584" spans="1:26" ht="18.600000000000001" customHeight="1" x14ac:dyDescent="0.35">
      <c r="A584" s="283"/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</row>
    <row r="585" spans="1:26" ht="18.600000000000001" customHeight="1" x14ac:dyDescent="0.35">
      <c r="A585" s="283"/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</row>
    <row r="586" spans="1:26" ht="18.600000000000001" customHeight="1" x14ac:dyDescent="0.35">
      <c r="A586" s="283"/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</row>
    <row r="587" spans="1:26" ht="18.600000000000001" customHeight="1" x14ac:dyDescent="0.35">
      <c r="A587" s="283"/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</row>
    <row r="588" spans="1:26" ht="18.600000000000001" customHeight="1" x14ac:dyDescent="0.35">
      <c r="A588" s="283"/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</row>
    <row r="589" spans="1:26" ht="18.600000000000001" customHeight="1" x14ac:dyDescent="0.35">
      <c r="A589" s="283"/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</row>
    <row r="590" spans="1:26" ht="18.600000000000001" customHeight="1" x14ac:dyDescent="0.35">
      <c r="A590" s="283"/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</row>
    <row r="591" spans="1:26" ht="18.600000000000001" customHeight="1" x14ac:dyDescent="0.35">
      <c r="A591" s="283"/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</row>
    <row r="592" spans="1:26" ht="18.600000000000001" customHeight="1" x14ac:dyDescent="0.35">
      <c r="A592" s="283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</row>
    <row r="593" spans="1:26" ht="18.600000000000001" customHeight="1" x14ac:dyDescent="0.35">
      <c r="A593" s="283"/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</row>
    <row r="594" spans="1:26" ht="18.600000000000001" customHeight="1" x14ac:dyDescent="0.35">
      <c r="A594" s="283"/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</row>
    <row r="595" spans="1:26" ht="18.600000000000001" customHeight="1" x14ac:dyDescent="0.35">
      <c r="A595" s="283"/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</row>
    <row r="596" spans="1:26" ht="18.600000000000001" customHeight="1" x14ac:dyDescent="0.35">
      <c r="A596" s="283"/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</row>
    <row r="597" spans="1:26" ht="18.600000000000001" customHeight="1" x14ac:dyDescent="0.35">
      <c r="A597" s="283"/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</row>
    <row r="598" spans="1:26" ht="18.600000000000001" customHeight="1" x14ac:dyDescent="0.35">
      <c r="A598" s="283"/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</row>
    <row r="599" spans="1:26" ht="18.600000000000001" customHeight="1" x14ac:dyDescent="0.35">
      <c r="A599" s="283"/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</row>
    <row r="600" spans="1:26" ht="18.600000000000001" customHeight="1" x14ac:dyDescent="0.35">
      <c r="A600" s="283"/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</row>
    <row r="601" spans="1:26" ht="18.600000000000001" customHeight="1" x14ac:dyDescent="0.35">
      <c r="A601" s="283"/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</row>
    <row r="602" spans="1:26" ht="18.600000000000001" customHeight="1" x14ac:dyDescent="0.35">
      <c r="A602" s="283"/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</row>
    <row r="603" spans="1:26" ht="18.600000000000001" customHeight="1" x14ac:dyDescent="0.35">
      <c r="A603" s="283"/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</row>
    <row r="604" spans="1:26" ht="18.600000000000001" customHeight="1" x14ac:dyDescent="0.35">
      <c r="A604" s="283"/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</row>
    <row r="605" spans="1:26" ht="18.600000000000001" customHeight="1" x14ac:dyDescent="0.35">
      <c r="A605" s="283"/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</row>
    <row r="606" spans="1:26" ht="18.600000000000001" customHeight="1" x14ac:dyDescent="0.35">
      <c r="A606" s="283"/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</row>
    <row r="607" spans="1:26" ht="18.600000000000001" customHeight="1" x14ac:dyDescent="0.35">
      <c r="A607" s="283"/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</row>
    <row r="608" spans="1:26" ht="18.600000000000001" customHeight="1" x14ac:dyDescent="0.35">
      <c r="A608" s="283"/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</row>
    <row r="609" spans="1:26" ht="18.600000000000001" customHeight="1" x14ac:dyDescent="0.35">
      <c r="A609" s="283"/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</row>
    <row r="610" spans="1:26" ht="18.600000000000001" customHeight="1" x14ac:dyDescent="0.35">
      <c r="A610" s="283"/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</row>
    <row r="611" spans="1:26" ht="18.600000000000001" customHeight="1" x14ac:dyDescent="0.35">
      <c r="A611" s="283"/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</row>
    <row r="612" spans="1:26" ht="18.600000000000001" customHeight="1" x14ac:dyDescent="0.35">
      <c r="A612" s="283"/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</row>
    <row r="613" spans="1:26" ht="18.600000000000001" customHeight="1" x14ac:dyDescent="0.35">
      <c r="A613" s="283"/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</row>
    <row r="614" spans="1:26" ht="18.600000000000001" customHeight="1" x14ac:dyDescent="0.35">
      <c r="A614" s="283"/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</row>
    <row r="615" spans="1:26" ht="18.600000000000001" customHeight="1" x14ac:dyDescent="0.35">
      <c r="A615" s="283"/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</row>
    <row r="616" spans="1:26" ht="18.600000000000001" customHeight="1" x14ac:dyDescent="0.35">
      <c r="A616" s="283"/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</row>
    <row r="617" spans="1:26" ht="18.600000000000001" customHeight="1" x14ac:dyDescent="0.35">
      <c r="A617" s="283"/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</row>
    <row r="618" spans="1:26" ht="18.600000000000001" customHeight="1" x14ac:dyDescent="0.35">
      <c r="A618" s="283"/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</row>
    <row r="619" spans="1:26" ht="18.600000000000001" customHeight="1" x14ac:dyDescent="0.35">
      <c r="A619" s="283"/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</row>
    <row r="620" spans="1:26" ht="18.600000000000001" customHeight="1" x14ac:dyDescent="0.35">
      <c r="A620" s="283"/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</row>
    <row r="621" spans="1:26" ht="18.600000000000001" customHeight="1" x14ac:dyDescent="0.35">
      <c r="A621" s="283"/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</row>
    <row r="622" spans="1:26" ht="18.600000000000001" customHeight="1" x14ac:dyDescent="0.35">
      <c r="A622" s="283"/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</row>
    <row r="623" spans="1:26" ht="18.600000000000001" customHeight="1" x14ac:dyDescent="0.35">
      <c r="A623" s="283"/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</row>
    <row r="624" spans="1:26" ht="18.600000000000001" customHeight="1" x14ac:dyDescent="0.35">
      <c r="A624" s="283"/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</row>
    <row r="625" spans="1:26" ht="18.600000000000001" customHeight="1" x14ac:dyDescent="0.35">
      <c r="A625" s="283"/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</row>
    <row r="626" spans="1:26" ht="18.600000000000001" customHeight="1" x14ac:dyDescent="0.35">
      <c r="A626" s="283"/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</row>
    <row r="627" spans="1:26" ht="18.600000000000001" customHeight="1" x14ac:dyDescent="0.35">
      <c r="A627" s="283"/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</row>
    <row r="628" spans="1:26" ht="18.600000000000001" customHeight="1" x14ac:dyDescent="0.35">
      <c r="A628" s="283"/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</row>
    <row r="629" spans="1:26" ht="18.600000000000001" customHeight="1" x14ac:dyDescent="0.35">
      <c r="A629" s="283"/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</row>
    <row r="630" spans="1:26" ht="18.600000000000001" customHeight="1" x14ac:dyDescent="0.35">
      <c r="A630" s="283"/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</row>
    <row r="631" spans="1:26" ht="18.600000000000001" customHeight="1" x14ac:dyDescent="0.35">
      <c r="A631" s="283"/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</row>
    <row r="632" spans="1:26" ht="18.600000000000001" customHeight="1" x14ac:dyDescent="0.35">
      <c r="A632" s="283"/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</row>
    <row r="633" spans="1:26" ht="18.600000000000001" customHeight="1" x14ac:dyDescent="0.35">
      <c r="A633" s="283"/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</row>
    <row r="634" spans="1:26" ht="18.600000000000001" customHeight="1" x14ac:dyDescent="0.35">
      <c r="A634" s="283"/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</row>
    <row r="635" spans="1:26" ht="18.600000000000001" customHeight="1" x14ac:dyDescent="0.35">
      <c r="A635" s="283"/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</row>
    <row r="636" spans="1:26" ht="18.600000000000001" customHeight="1" x14ac:dyDescent="0.35">
      <c r="A636" s="283"/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</row>
    <row r="637" spans="1:26" ht="18.600000000000001" customHeight="1" x14ac:dyDescent="0.35">
      <c r="A637" s="283"/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</row>
    <row r="638" spans="1:26" ht="18.600000000000001" customHeight="1" x14ac:dyDescent="0.35">
      <c r="A638" s="283"/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</row>
    <row r="639" spans="1:26" ht="18.600000000000001" customHeight="1" x14ac:dyDescent="0.35">
      <c r="A639" s="283"/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</row>
    <row r="640" spans="1:26" ht="18.600000000000001" customHeight="1" x14ac:dyDescent="0.35">
      <c r="A640" s="283"/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</row>
    <row r="641" spans="1:26" ht="18.600000000000001" customHeight="1" x14ac:dyDescent="0.35">
      <c r="A641" s="283"/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</row>
    <row r="642" spans="1:26" ht="18.600000000000001" customHeight="1" x14ac:dyDescent="0.35">
      <c r="A642" s="283"/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</row>
    <row r="643" spans="1:26" ht="18.600000000000001" customHeight="1" x14ac:dyDescent="0.35">
      <c r="A643" s="283"/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</row>
    <row r="644" spans="1:26" ht="18.600000000000001" customHeight="1" x14ac:dyDescent="0.35">
      <c r="A644" s="283"/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</row>
    <row r="645" spans="1:26" ht="18.600000000000001" customHeight="1" x14ac:dyDescent="0.35">
      <c r="A645" s="283"/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</row>
    <row r="646" spans="1:26" ht="18.600000000000001" customHeight="1" x14ac:dyDescent="0.35">
      <c r="A646" s="283"/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</row>
    <row r="647" spans="1:26" ht="18.600000000000001" customHeight="1" x14ac:dyDescent="0.35">
      <c r="A647" s="283"/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</row>
    <row r="648" spans="1:26" ht="18.600000000000001" customHeight="1" x14ac:dyDescent="0.35">
      <c r="A648" s="283"/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</row>
    <row r="649" spans="1:26" ht="18.600000000000001" customHeight="1" x14ac:dyDescent="0.35">
      <c r="A649" s="283"/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</row>
    <row r="650" spans="1:26" ht="18.600000000000001" customHeight="1" x14ac:dyDescent="0.35">
      <c r="A650" s="283"/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</row>
    <row r="651" spans="1:26" ht="18.600000000000001" customHeight="1" x14ac:dyDescent="0.35">
      <c r="A651" s="283"/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</row>
    <row r="652" spans="1:26" ht="18.600000000000001" customHeight="1" x14ac:dyDescent="0.35">
      <c r="A652" s="283"/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</row>
    <row r="653" spans="1:26" ht="18.600000000000001" customHeight="1" x14ac:dyDescent="0.35">
      <c r="A653" s="283"/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</row>
    <row r="654" spans="1:26" ht="18.600000000000001" customHeight="1" x14ac:dyDescent="0.35">
      <c r="A654" s="283"/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</row>
    <row r="655" spans="1:26" ht="18.600000000000001" customHeight="1" x14ac:dyDescent="0.35">
      <c r="A655" s="283"/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</row>
    <row r="656" spans="1:26" ht="18.600000000000001" customHeight="1" x14ac:dyDescent="0.35">
      <c r="A656" s="283"/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</row>
    <row r="657" spans="1:26" ht="18.600000000000001" customHeight="1" x14ac:dyDescent="0.35">
      <c r="A657" s="283"/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</row>
    <row r="658" spans="1:26" ht="18.600000000000001" customHeight="1" x14ac:dyDescent="0.35">
      <c r="A658" s="283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</row>
    <row r="659" spans="1:26" ht="18.600000000000001" customHeight="1" x14ac:dyDescent="0.35">
      <c r="A659" s="283"/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</row>
    <row r="660" spans="1:26" ht="18.600000000000001" customHeight="1" x14ac:dyDescent="0.35">
      <c r="A660" s="283"/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</row>
    <row r="661" spans="1:26" ht="18.600000000000001" customHeight="1" x14ac:dyDescent="0.35">
      <c r="A661" s="283"/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</row>
    <row r="662" spans="1:26" ht="18.600000000000001" customHeight="1" x14ac:dyDescent="0.35">
      <c r="A662" s="283"/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</row>
    <row r="663" spans="1:26" ht="18.600000000000001" customHeight="1" x14ac:dyDescent="0.35">
      <c r="A663" s="283"/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</row>
    <row r="664" spans="1:26" ht="18.600000000000001" customHeight="1" x14ac:dyDescent="0.35">
      <c r="A664" s="283"/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</row>
    <row r="665" spans="1:26" ht="18.600000000000001" customHeight="1" x14ac:dyDescent="0.35">
      <c r="A665" s="283"/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</row>
    <row r="666" spans="1:26" ht="18.600000000000001" customHeight="1" x14ac:dyDescent="0.35">
      <c r="A666" s="283"/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</row>
    <row r="667" spans="1:26" ht="18.600000000000001" customHeight="1" x14ac:dyDescent="0.35">
      <c r="A667" s="283"/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</row>
    <row r="668" spans="1:26" ht="18.600000000000001" customHeight="1" x14ac:dyDescent="0.35">
      <c r="A668" s="283"/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</row>
    <row r="669" spans="1:26" ht="18.600000000000001" customHeight="1" x14ac:dyDescent="0.35">
      <c r="A669" s="283"/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</row>
    <row r="670" spans="1:26" ht="18.600000000000001" customHeight="1" x14ac:dyDescent="0.35">
      <c r="A670" s="283"/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</row>
    <row r="671" spans="1:26" ht="18.600000000000001" customHeight="1" x14ac:dyDescent="0.35">
      <c r="A671" s="283"/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</row>
    <row r="672" spans="1:26" ht="18.600000000000001" customHeight="1" x14ac:dyDescent="0.35">
      <c r="A672" s="283"/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</row>
    <row r="673" spans="1:26" ht="18.600000000000001" customHeight="1" x14ac:dyDescent="0.35">
      <c r="A673" s="283"/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</row>
    <row r="674" spans="1:26" ht="18.600000000000001" customHeight="1" x14ac:dyDescent="0.35">
      <c r="A674" s="283"/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</row>
    <row r="675" spans="1:26" ht="18.600000000000001" customHeight="1" x14ac:dyDescent="0.35">
      <c r="A675" s="283"/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</row>
    <row r="676" spans="1:26" ht="18.600000000000001" customHeight="1" x14ac:dyDescent="0.35">
      <c r="A676" s="283"/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</row>
    <row r="677" spans="1:26" ht="18.600000000000001" customHeight="1" x14ac:dyDescent="0.35">
      <c r="A677" s="283"/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</row>
    <row r="678" spans="1:26" ht="18.600000000000001" customHeight="1" x14ac:dyDescent="0.35">
      <c r="A678" s="283"/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</row>
    <row r="679" spans="1:26" ht="18.600000000000001" customHeight="1" x14ac:dyDescent="0.35">
      <c r="A679" s="283"/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</row>
    <row r="680" spans="1:26" ht="18.600000000000001" customHeight="1" x14ac:dyDescent="0.35">
      <c r="A680" s="283"/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</row>
    <row r="681" spans="1:26" ht="18.600000000000001" customHeight="1" x14ac:dyDescent="0.35">
      <c r="A681" s="283"/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</row>
    <row r="682" spans="1:26" ht="18.600000000000001" customHeight="1" x14ac:dyDescent="0.35">
      <c r="A682" s="283"/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</row>
    <row r="683" spans="1:26" ht="18.600000000000001" customHeight="1" x14ac:dyDescent="0.35">
      <c r="A683" s="283"/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</row>
    <row r="684" spans="1:26" ht="18.600000000000001" customHeight="1" x14ac:dyDescent="0.35">
      <c r="A684" s="283"/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</row>
    <row r="685" spans="1:26" ht="18.600000000000001" customHeight="1" x14ac:dyDescent="0.35">
      <c r="A685" s="283"/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</row>
    <row r="686" spans="1:26" ht="18.600000000000001" customHeight="1" x14ac:dyDescent="0.35">
      <c r="A686" s="283"/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</row>
    <row r="687" spans="1:26" ht="18.600000000000001" customHeight="1" x14ac:dyDescent="0.35">
      <c r="A687" s="283"/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</row>
    <row r="688" spans="1:26" ht="18.600000000000001" customHeight="1" x14ac:dyDescent="0.35">
      <c r="A688" s="283"/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</row>
    <row r="689" spans="1:26" ht="18.600000000000001" customHeight="1" x14ac:dyDescent="0.35">
      <c r="A689" s="283"/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</row>
    <row r="690" spans="1:26" ht="18.600000000000001" customHeight="1" x14ac:dyDescent="0.35">
      <c r="A690" s="283"/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</row>
    <row r="691" spans="1:26" ht="18.600000000000001" customHeight="1" x14ac:dyDescent="0.35">
      <c r="A691" s="283"/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</row>
    <row r="692" spans="1:26" ht="18.600000000000001" customHeight="1" x14ac:dyDescent="0.35">
      <c r="A692" s="283"/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</row>
    <row r="693" spans="1:26" ht="18.600000000000001" customHeight="1" x14ac:dyDescent="0.35">
      <c r="A693" s="283"/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</row>
    <row r="694" spans="1:26" ht="18.600000000000001" customHeight="1" x14ac:dyDescent="0.35">
      <c r="A694" s="283"/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</row>
    <row r="695" spans="1:26" ht="18.600000000000001" customHeight="1" x14ac:dyDescent="0.35">
      <c r="A695" s="283"/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</row>
    <row r="696" spans="1:26" ht="18.600000000000001" customHeight="1" x14ac:dyDescent="0.35">
      <c r="A696" s="283"/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</row>
    <row r="697" spans="1:26" ht="18.600000000000001" customHeight="1" x14ac:dyDescent="0.35">
      <c r="A697" s="283"/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</row>
    <row r="698" spans="1:26" ht="18.600000000000001" customHeight="1" x14ac:dyDescent="0.35">
      <c r="A698" s="283"/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</row>
    <row r="699" spans="1:26" ht="18.600000000000001" customHeight="1" x14ac:dyDescent="0.35">
      <c r="A699" s="283"/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</row>
    <row r="700" spans="1:26" ht="18.600000000000001" customHeight="1" x14ac:dyDescent="0.35">
      <c r="A700" s="283"/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</row>
    <row r="701" spans="1:26" ht="18.600000000000001" customHeight="1" x14ac:dyDescent="0.35">
      <c r="A701" s="283"/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</row>
    <row r="702" spans="1:26" ht="18.600000000000001" customHeight="1" x14ac:dyDescent="0.35">
      <c r="A702" s="283"/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</row>
    <row r="703" spans="1:26" ht="18.600000000000001" customHeight="1" x14ac:dyDescent="0.35">
      <c r="A703" s="283"/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</row>
    <row r="704" spans="1:26" ht="18.600000000000001" customHeight="1" x14ac:dyDescent="0.35">
      <c r="A704" s="283"/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</row>
    <row r="705" spans="1:26" ht="18.600000000000001" customHeight="1" x14ac:dyDescent="0.35">
      <c r="A705" s="283"/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</row>
    <row r="706" spans="1:26" ht="18.600000000000001" customHeight="1" x14ac:dyDescent="0.35">
      <c r="A706" s="283"/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</row>
    <row r="707" spans="1:26" ht="18.600000000000001" customHeight="1" x14ac:dyDescent="0.35">
      <c r="A707" s="283"/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</row>
    <row r="708" spans="1:26" ht="18.600000000000001" customHeight="1" x14ac:dyDescent="0.35">
      <c r="A708" s="283"/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</row>
    <row r="709" spans="1:26" ht="18.600000000000001" customHeight="1" x14ac:dyDescent="0.35">
      <c r="A709" s="283"/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</row>
    <row r="710" spans="1:26" ht="18.600000000000001" customHeight="1" x14ac:dyDescent="0.35">
      <c r="A710" s="283"/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</row>
    <row r="711" spans="1:26" ht="18.600000000000001" customHeight="1" x14ac:dyDescent="0.35">
      <c r="A711" s="283"/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</row>
    <row r="712" spans="1:26" ht="18.600000000000001" customHeight="1" x14ac:dyDescent="0.35">
      <c r="A712" s="283"/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</row>
    <row r="713" spans="1:26" ht="18.600000000000001" customHeight="1" x14ac:dyDescent="0.35">
      <c r="A713" s="283"/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</row>
    <row r="714" spans="1:26" ht="18.600000000000001" customHeight="1" x14ac:dyDescent="0.35">
      <c r="A714" s="283"/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</row>
    <row r="715" spans="1:26" ht="18.600000000000001" customHeight="1" x14ac:dyDescent="0.35">
      <c r="A715" s="283"/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</row>
    <row r="716" spans="1:26" ht="18.600000000000001" customHeight="1" x14ac:dyDescent="0.35">
      <c r="A716" s="283"/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</row>
    <row r="717" spans="1:26" ht="18.600000000000001" customHeight="1" x14ac:dyDescent="0.35">
      <c r="A717" s="283"/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</row>
    <row r="718" spans="1:26" ht="18.600000000000001" customHeight="1" x14ac:dyDescent="0.35">
      <c r="A718" s="283"/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</row>
    <row r="719" spans="1:26" ht="18.600000000000001" customHeight="1" x14ac:dyDescent="0.35">
      <c r="A719" s="283"/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</row>
    <row r="720" spans="1:26" ht="18.600000000000001" customHeight="1" x14ac:dyDescent="0.35">
      <c r="A720" s="283"/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</row>
    <row r="721" spans="1:26" ht="18.600000000000001" customHeight="1" x14ac:dyDescent="0.35">
      <c r="A721" s="283"/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</row>
    <row r="722" spans="1:26" ht="18.600000000000001" customHeight="1" x14ac:dyDescent="0.35">
      <c r="A722" s="283"/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</row>
    <row r="723" spans="1:26" ht="18.600000000000001" customHeight="1" x14ac:dyDescent="0.35">
      <c r="A723" s="283"/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</row>
    <row r="724" spans="1:26" ht="18.600000000000001" customHeight="1" x14ac:dyDescent="0.35">
      <c r="A724" s="283"/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</row>
    <row r="725" spans="1:26" ht="18.600000000000001" customHeight="1" x14ac:dyDescent="0.35">
      <c r="A725" s="283"/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</row>
    <row r="726" spans="1:26" ht="18.600000000000001" customHeight="1" x14ac:dyDescent="0.35">
      <c r="A726" s="283"/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</row>
    <row r="727" spans="1:26" ht="18.600000000000001" customHeight="1" x14ac:dyDescent="0.35">
      <c r="A727" s="283"/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</row>
    <row r="728" spans="1:26" ht="18.600000000000001" customHeight="1" x14ac:dyDescent="0.35">
      <c r="A728" s="283"/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</row>
    <row r="729" spans="1:26" ht="18.600000000000001" customHeight="1" x14ac:dyDescent="0.35">
      <c r="A729" s="283"/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</row>
    <row r="730" spans="1:26" ht="18.600000000000001" customHeight="1" x14ac:dyDescent="0.35">
      <c r="A730" s="283"/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</row>
    <row r="731" spans="1:26" ht="18.600000000000001" customHeight="1" x14ac:dyDescent="0.35">
      <c r="A731" s="283"/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</row>
    <row r="732" spans="1:26" ht="18.600000000000001" customHeight="1" x14ac:dyDescent="0.35">
      <c r="A732" s="283"/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</row>
    <row r="733" spans="1:26" ht="18.600000000000001" customHeight="1" x14ac:dyDescent="0.35">
      <c r="A733" s="283"/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</row>
    <row r="734" spans="1:26" ht="18.600000000000001" customHeight="1" x14ac:dyDescent="0.35">
      <c r="A734" s="283"/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</row>
    <row r="735" spans="1:26" ht="18.600000000000001" customHeight="1" x14ac:dyDescent="0.35">
      <c r="A735" s="283"/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</row>
    <row r="736" spans="1:26" ht="18.600000000000001" customHeight="1" x14ac:dyDescent="0.35">
      <c r="A736" s="283"/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</row>
    <row r="737" spans="1:26" ht="18.600000000000001" customHeight="1" x14ac:dyDescent="0.35">
      <c r="A737" s="283"/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</row>
    <row r="738" spans="1:26" ht="18.600000000000001" customHeight="1" x14ac:dyDescent="0.35">
      <c r="A738" s="283"/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</row>
    <row r="739" spans="1:26" ht="18.600000000000001" customHeight="1" x14ac:dyDescent="0.35">
      <c r="A739" s="283"/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</row>
    <row r="740" spans="1:26" ht="18.600000000000001" customHeight="1" x14ac:dyDescent="0.35">
      <c r="A740" s="283"/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</row>
    <row r="741" spans="1:26" ht="18.600000000000001" customHeight="1" x14ac:dyDescent="0.35">
      <c r="A741" s="283"/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</row>
    <row r="742" spans="1:26" ht="18.600000000000001" customHeight="1" x14ac:dyDescent="0.35">
      <c r="A742" s="283"/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</row>
    <row r="743" spans="1:26" ht="18.600000000000001" customHeight="1" x14ac:dyDescent="0.35">
      <c r="A743" s="283"/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</row>
    <row r="744" spans="1:26" ht="18.600000000000001" customHeight="1" x14ac:dyDescent="0.35">
      <c r="A744" s="283"/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</row>
    <row r="745" spans="1:26" ht="18.600000000000001" customHeight="1" x14ac:dyDescent="0.35">
      <c r="A745" s="283"/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</row>
    <row r="746" spans="1:26" ht="18.600000000000001" customHeight="1" x14ac:dyDescent="0.35">
      <c r="A746" s="283"/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</row>
    <row r="747" spans="1:26" ht="18.600000000000001" customHeight="1" x14ac:dyDescent="0.35">
      <c r="A747" s="283"/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</row>
    <row r="748" spans="1:26" ht="18.600000000000001" customHeight="1" x14ac:dyDescent="0.35">
      <c r="A748" s="283"/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</row>
    <row r="749" spans="1:26" ht="18.600000000000001" customHeight="1" x14ac:dyDescent="0.35">
      <c r="A749" s="283"/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</row>
    <row r="750" spans="1:26" ht="18.600000000000001" customHeight="1" x14ac:dyDescent="0.35">
      <c r="A750" s="283"/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</row>
    <row r="751" spans="1:26" ht="18.600000000000001" customHeight="1" x14ac:dyDescent="0.35">
      <c r="A751" s="283"/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</row>
    <row r="752" spans="1:26" ht="18.600000000000001" customHeight="1" x14ac:dyDescent="0.35">
      <c r="A752" s="283"/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</row>
    <row r="753" spans="1:26" ht="18.600000000000001" customHeight="1" x14ac:dyDescent="0.35">
      <c r="A753" s="283"/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</row>
    <row r="754" spans="1:26" ht="18.600000000000001" customHeight="1" x14ac:dyDescent="0.35">
      <c r="A754" s="283"/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</row>
    <row r="755" spans="1:26" ht="18.600000000000001" customHeight="1" x14ac:dyDescent="0.35">
      <c r="A755" s="283"/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</row>
    <row r="756" spans="1:26" ht="18.600000000000001" customHeight="1" x14ac:dyDescent="0.35">
      <c r="A756" s="283"/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</row>
    <row r="757" spans="1:26" ht="18.600000000000001" customHeight="1" x14ac:dyDescent="0.35">
      <c r="A757" s="283"/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</row>
    <row r="758" spans="1:26" ht="18.600000000000001" customHeight="1" x14ac:dyDescent="0.35">
      <c r="A758" s="283"/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</row>
    <row r="759" spans="1:26" ht="18.600000000000001" customHeight="1" x14ac:dyDescent="0.35">
      <c r="A759" s="283"/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</row>
    <row r="760" spans="1:26" ht="18.600000000000001" customHeight="1" x14ac:dyDescent="0.35">
      <c r="A760" s="283"/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</row>
    <row r="761" spans="1:26" ht="18.600000000000001" customHeight="1" x14ac:dyDescent="0.35">
      <c r="A761" s="283"/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</row>
    <row r="762" spans="1:26" ht="18.600000000000001" customHeight="1" x14ac:dyDescent="0.35">
      <c r="A762" s="283"/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</row>
    <row r="763" spans="1:26" ht="18.600000000000001" customHeight="1" x14ac:dyDescent="0.35">
      <c r="A763" s="283"/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</row>
    <row r="764" spans="1:26" ht="18.600000000000001" customHeight="1" x14ac:dyDescent="0.35">
      <c r="A764" s="283"/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</row>
    <row r="765" spans="1:26" ht="18.600000000000001" customHeight="1" x14ac:dyDescent="0.35">
      <c r="A765" s="283"/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</row>
    <row r="766" spans="1:26" ht="18.600000000000001" customHeight="1" x14ac:dyDescent="0.35">
      <c r="A766" s="283"/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</row>
    <row r="767" spans="1:26" ht="18.600000000000001" customHeight="1" x14ac:dyDescent="0.35">
      <c r="A767" s="283"/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</row>
    <row r="768" spans="1:26" ht="18.600000000000001" customHeight="1" x14ac:dyDescent="0.35">
      <c r="A768" s="283"/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</row>
    <row r="769" spans="1:26" ht="18.600000000000001" customHeight="1" x14ac:dyDescent="0.35">
      <c r="A769" s="283"/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</row>
    <row r="770" spans="1:26" ht="18.600000000000001" customHeight="1" x14ac:dyDescent="0.35">
      <c r="A770" s="283"/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</row>
    <row r="771" spans="1:26" ht="18.600000000000001" customHeight="1" x14ac:dyDescent="0.35">
      <c r="A771" s="283"/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</row>
    <row r="772" spans="1:26" ht="18.600000000000001" customHeight="1" x14ac:dyDescent="0.35">
      <c r="A772" s="283"/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</row>
    <row r="773" spans="1:26" ht="18.600000000000001" customHeight="1" x14ac:dyDescent="0.35">
      <c r="A773" s="283"/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</row>
    <row r="774" spans="1:26" ht="18.600000000000001" customHeight="1" x14ac:dyDescent="0.35">
      <c r="A774" s="283"/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</row>
    <row r="775" spans="1:26" ht="18.600000000000001" customHeight="1" x14ac:dyDescent="0.35">
      <c r="A775" s="283"/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</row>
    <row r="776" spans="1:26" ht="18.600000000000001" customHeight="1" x14ac:dyDescent="0.35">
      <c r="A776" s="283"/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</row>
    <row r="777" spans="1:26" ht="18.600000000000001" customHeight="1" x14ac:dyDescent="0.35">
      <c r="A777" s="283"/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</row>
    <row r="778" spans="1:26" ht="18.600000000000001" customHeight="1" x14ac:dyDescent="0.35">
      <c r="A778" s="283"/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</row>
    <row r="779" spans="1:26" ht="18.600000000000001" customHeight="1" x14ac:dyDescent="0.35">
      <c r="A779" s="283"/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</row>
    <row r="780" spans="1:26" ht="18.600000000000001" customHeight="1" x14ac:dyDescent="0.35">
      <c r="A780" s="283"/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</row>
    <row r="781" spans="1:26" ht="18.600000000000001" customHeight="1" x14ac:dyDescent="0.35">
      <c r="A781" s="283"/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</row>
    <row r="782" spans="1:26" ht="18.600000000000001" customHeight="1" x14ac:dyDescent="0.35">
      <c r="A782" s="283"/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</row>
    <row r="783" spans="1:26" ht="18.600000000000001" customHeight="1" x14ac:dyDescent="0.35">
      <c r="A783" s="283"/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</row>
    <row r="784" spans="1:26" ht="18.600000000000001" customHeight="1" x14ac:dyDescent="0.35">
      <c r="A784" s="283"/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</row>
    <row r="785" spans="1:26" ht="18.600000000000001" customHeight="1" x14ac:dyDescent="0.35">
      <c r="A785" s="283"/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</row>
    <row r="786" spans="1:26" ht="18.600000000000001" customHeight="1" x14ac:dyDescent="0.35">
      <c r="A786" s="283"/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</row>
    <row r="787" spans="1:26" ht="18.600000000000001" customHeight="1" x14ac:dyDescent="0.35">
      <c r="A787" s="283"/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</row>
    <row r="788" spans="1:26" ht="18.600000000000001" customHeight="1" x14ac:dyDescent="0.35">
      <c r="A788" s="283"/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</row>
    <row r="789" spans="1:26" ht="18.600000000000001" customHeight="1" x14ac:dyDescent="0.35">
      <c r="A789" s="283"/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</row>
    <row r="790" spans="1:26" ht="18.600000000000001" customHeight="1" x14ac:dyDescent="0.35">
      <c r="A790" s="283"/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</row>
    <row r="791" spans="1:26" ht="18.600000000000001" customHeight="1" x14ac:dyDescent="0.35">
      <c r="A791" s="283"/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</row>
    <row r="792" spans="1:26" ht="18.600000000000001" customHeight="1" x14ac:dyDescent="0.35">
      <c r="A792" s="283"/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</row>
    <row r="793" spans="1:26" ht="18.600000000000001" customHeight="1" x14ac:dyDescent="0.35">
      <c r="A793" s="283"/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</row>
    <row r="794" spans="1:26" ht="18.600000000000001" customHeight="1" x14ac:dyDescent="0.35">
      <c r="A794" s="283"/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</row>
    <row r="795" spans="1:26" ht="18.600000000000001" customHeight="1" x14ac:dyDescent="0.35">
      <c r="A795" s="283"/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</row>
    <row r="796" spans="1:26" ht="18.600000000000001" customHeight="1" x14ac:dyDescent="0.35">
      <c r="A796" s="283"/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</row>
    <row r="797" spans="1:26" ht="18.600000000000001" customHeight="1" x14ac:dyDescent="0.35">
      <c r="A797" s="283"/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</row>
    <row r="798" spans="1:26" ht="18.600000000000001" customHeight="1" x14ac:dyDescent="0.35">
      <c r="A798" s="283"/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</row>
    <row r="799" spans="1:26" ht="18.600000000000001" customHeight="1" x14ac:dyDescent="0.35">
      <c r="A799" s="283"/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</row>
    <row r="800" spans="1:26" ht="18.600000000000001" customHeight="1" x14ac:dyDescent="0.35">
      <c r="A800" s="283"/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</row>
    <row r="801" spans="1:26" ht="18.600000000000001" customHeight="1" x14ac:dyDescent="0.35">
      <c r="A801" s="283"/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</row>
    <row r="802" spans="1:26" ht="18.600000000000001" customHeight="1" x14ac:dyDescent="0.35">
      <c r="A802" s="283"/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</row>
    <row r="803" spans="1:26" ht="18.600000000000001" customHeight="1" x14ac:dyDescent="0.35">
      <c r="A803" s="283"/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</row>
    <row r="804" spans="1:26" ht="18.600000000000001" customHeight="1" x14ac:dyDescent="0.35">
      <c r="A804" s="283"/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</row>
    <row r="805" spans="1:26" ht="18.600000000000001" customHeight="1" x14ac:dyDescent="0.35">
      <c r="A805" s="283"/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</row>
    <row r="806" spans="1:26" ht="18.600000000000001" customHeight="1" x14ac:dyDescent="0.35">
      <c r="A806" s="283"/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</row>
    <row r="807" spans="1:26" ht="18.600000000000001" customHeight="1" x14ac:dyDescent="0.35">
      <c r="A807" s="283"/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</row>
    <row r="808" spans="1:26" ht="18.600000000000001" customHeight="1" x14ac:dyDescent="0.35">
      <c r="A808" s="283"/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</row>
    <row r="809" spans="1:26" ht="18.600000000000001" customHeight="1" x14ac:dyDescent="0.35">
      <c r="A809" s="283"/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</row>
    <row r="810" spans="1:26" ht="18.600000000000001" customHeight="1" x14ac:dyDescent="0.35">
      <c r="A810" s="283"/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</row>
    <row r="811" spans="1:26" ht="18.600000000000001" customHeight="1" x14ac:dyDescent="0.35">
      <c r="A811" s="283"/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</row>
    <row r="812" spans="1:26" ht="18.600000000000001" customHeight="1" x14ac:dyDescent="0.35">
      <c r="A812" s="283"/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</row>
    <row r="813" spans="1:26" ht="18.600000000000001" customHeight="1" x14ac:dyDescent="0.35">
      <c r="A813" s="283"/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</row>
    <row r="814" spans="1:26" ht="18.600000000000001" customHeight="1" x14ac:dyDescent="0.35">
      <c r="A814" s="283"/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</row>
    <row r="815" spans="1:26" ht="18.600000000000001" customHeight="1" x14ac:dyDescent="0.35">
      <c r="A815" s="283"/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</row>
    <row r="816" spans="1:26" ht="18.600000000000001" customHeight="1" x14ac:dyDescent="0.35">
      <c r="A816" s="283"/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</row>
    <row r="817" spans="1:26" ht="18.600000000000001" customHeight="1" x14ac:dyDescent="0.35">
      <c r="A817" s="283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</row>
    <row r="818" spans="1:26" ht="18.600000000000001" customHeight="1" x14ac:dyDescent="0.35">
      <c r="A818" s="283"/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</row>
    <row r="819" spans="1:26" ht="18.600000000000001" customHeight="1" x14ac:dyDescent="0.35">
      <c r="A819" s="283"/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</row>
    <row r="820" spans="1:26" ht="18.600000000000001" customHeight="1" x14ac:dyDescent="0.35">
      <c r="A820" s="283"/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</row>
    <row r="821" spans="1:26" ht="18.600000000000001" customHeight="1" x14ac:dyDescent="0.35">
      <c r="A821" s="283"/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</row>
    <row r="822" spans="1:26" ht="18.600000000000001" customHeight="1" x14ac:dyDescent="0.35">
      <c r="A822" s="283"/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</row>
    <row r="823" spans="1:26" ht="18.600000000000001" customHeight="1" x14ac:dyDescent="0.35">
      <c r="A823" s="283"/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</row>
    <row r="824" spans="1:26" ht="18.600000000000001" customHeight="1" x14ac:dyDescent="0.35">
      <c r="A824" s="283"/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</row>
    <row r="825" spans="1:26" ht="18.600000000000001" customHeight="1" x14ac:dyDescent="0.35">
      <c r="A825" s="283"/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</row>
    <row r="826" spans="1:26" ht="18.600000000000001" customHeight="1" x14ac:dyDescent="0.35">
      <c r="A826" s="283"/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</row>
    <row r="827" spans="1:26" ht="18.600000000000001" customHeight="1" x14ac:dyDescent="0.35">
      <c r="A827" s="283"/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</row>
    <row r="828" spans="1:26" ht="18.600000000000001" customHeight="1" x14ac:dyDescent="0.35">
      <c r="A828" s="283"/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</row>
    <row r="829" spans="1:26" ht="18.600000000000001" customHeight="1" x14ac:dyDescent="0.35">
      <c r="A829" s="283"/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</row>
    <row r="830" spans="1:26" ht="18.600000000000001" customHeight="1" x14ac:dyDescent="0.35">
      <c r="A830" s="283"/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</row>
    <row r="831" spans="1:26" ht="18.600000000000001" customHeight="1" x14ac:dyDescent="0.35">
      <c r="A831" s="283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</row>
    <row r="832" spans="1:26" ht="18.600000000000001" customHeight="1" x14ac:dyDescent="0.35">
      <c r="A832" s="283"/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</row>
    <row r="833" spans="1:26" ht="18.600000000000001" customHeight="1" x14ac:dyDescent="0.35">
      <c r="A833" s="283"/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</row>
    <row r="834" spans="1:26" ht="18.600000000000001" customHeight="1" x14ac:dyDescent="0.35">
      <c r="A834" s="283"/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</row>
    <row r="835" spans="1:26" ht="18.600000000000001" customHeight="1" x14ac:dyDescent="0.35">
      <c r="A835" s="283"/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</row>
    <row r="836" spans="1:26" ht="18.600000000000001" customHeight="1" x14ac:dyDescent="0.35">
      <c r="A836" s="283"/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</row>
    <row r="837" spans="1:26" ht="18.600000000000001" customHeight="1" x14ac:dyDescent="0.35">
      <c r="A837" s="283"/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</row>
    <row r="838" spans="1:26" ht="18.600000000000001" customHeight="1" x14ac:dyDescent="0.35">
      <c r="A838" s="283"/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</row>
    <row r="839" spans="1:26" ht="18.600000000000001" customHeight="1" x14ac:dyDescent="0.35">
      <c r="A839" s="283"/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</row>
    <row r="840" spans="1:26" ht="18.600000000000001" customHeight="1" x14ac:dyDescent="0.35">
      <c r="A840" s="283"/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</row>
    <row r="841" spans="1:26" ht="18.600000000000001" customHeight="1" x14ac:dyDescent="0.35">
      <c r="A841" s="283"/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</row>
    <row r="842" spans="1:26" ht="18.600000000000001" customHeight="1" x14ac:dyDescent="0.35">
      <c r="A842" s="283"/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</row>
    <row r="843" spans="1:26" ht="18.600000000000001" customHeight="1" x14ac:dyDescent="0.35">
      <c r="A843" s="283"/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</row>
    <row r="844" spans="1:26" ht="18.600000000000001" customHeight="1" x14ac:dyDescent="0.35">
      <c r="A844" s="283"/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</row>
    <row r="845" spans="1:26" ht="18.600000000000001" customHeight="1" x14ac:dyDescent="0.35">
      <c r="A845" s="283"/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</row>
    <row r="846" spans="1:26" ht="18.600000000000001" customHeight="1" x14ac:dyDescent="0.35">
      <c r="A846" s="283"/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</row>
    <row r="847" spans="1:26" ht="18.600000000000001" customHeight="1" x14ac:dyDescent="0.35">
      <c r="A847" s="283"/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</row>
    <row r="848" spans="1:26" ht="18.600000000000001" customHeight="1" x14ac:dyDescent="0.35">
      <c r="A848" s="283"/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</row>
    <row r="849" spans="1:26" ht="18.600000000000001" customHeight="1" x14ac:dyDescent="0.35">
      <c r="A849" s="283"/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</row>
    <row r="850" spans="1:26" ht="18.600000000000001" customHeight="1" x14ac:dyDescent="0.35">
      <c r="A850" s="283"/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</row>
    <row r="851" spans="1:26" ht="18.600000000000001" customHeight="1" x14ac:dyDescent="0.35">
      <c r="A851" s="283"/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</row>
    <row r="852" spans="1:26" ht="18.600000000000001" customHeight="1" x14ac:dyDescent="0.35">
      <c r="A852" s="283"/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</row>
    <row r="853" spans="1:26" ht="18.600000000000001" customHeight="1" x14ac:dyDescent="0.35">
      <c r="A853" s="283"/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</row>
    <row r="854" spans="1:26" ht="18.600000000000001" customHeight="1" x14ac:dyDescent="0.35">
      <c r="A854" s="283"/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</row>
    <row r="855" spans="1:26" ht="18.600000000000001" customHeight="1" x14ac:dyDescent="0.35">
      <c r="A855" s="283"/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</row>
    <row r="856" spans="1:26" ht="18.600000000000001" customHeight="1" x14ac:dyDescent="0.35">
      <c r="A856" s="283"/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</row>
    <row r="857" spans="1:26" ht="18.600000000000001" customHeight="1" x14ac:dyDescent="0.35">
      <c r="A857" s="283"/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</row>
    <row r="858" spans="1:26" ht="18.600000000000001" customHeight="1" x14ac:dyDescent="0.35">
      <c r="A858" s="283"/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</row>
    <row r="859" spans="1:26" ht="18.600000000000001" customHeight="1" x14ac:dyDescent="0.35">
      <c r="A859" s="283"/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</row>
    <row r="860" spans="1:26" ht="18.600000000000001" customHeight="1" x14ac:dyDescent="0.35">
      <c r="A860" s="283"/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</row>
    <row r="861" spans="1:26" ht="18.600000000000001" customHeight="1" x14ac:dyDescent="0.35">
      <c r="A861" s="283"/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</row>
    <row r="862" spans="1:26" ht="18.600000000000001" customHeight="1" x14ac:dyDescent="0.35">
      <c r="A862" s="283"/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</row>
    <row r="863" spans="1:26" ht="18.600000000000001" customHeight="1" x14ac:dyDescent="0.35">
      <c r="A863" s="283"/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</row>
    <row r="864" spans="1:26" ht="18.600000000000001" customHeight="1" x14ac:dyDescent="0.35">
      <c r="A864" s="283"/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</row>
    <row r="865" spans="1:26" ht="18.600000000000001" customHeight="1" x14ac:dyDescent="0.35">
      <c r="A865" s="283"/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</row>
    <row r="866" spans="1:26" ht="18.600000000000001" customHeight="1" x14ac:dyDescent="0.35">
      <c r="A866" s="283"/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</row>
    <row r="867" spans="1:26" ht="18.600000000000001" customHeight="1" x14ac:dyDescent="0.35">
      <c r="A867" s="283"/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</row>
    <row r="868" spans="1:26" ht="18.600000000000001" customHeight="1" x14ac:dyDescent="0.35">
      <c r="A868" s="283"/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</row>
    <row r="869" spans="1:26" ht="18.600000000000001" customHeight="1" x14ac:dyDescent="0.35">
      <c r="A869" s="283"/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</row>
    <row r="870" spans="1:26" ht="18.600000000000001" customHeight="1" x14ac:dyDescent="0.35">
      <c r="A870" s="283"/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</row>
    <row r="871" spans="1:26" ht="18.600000000000001" customHeight="1" x14ac:dyDescent="0.35">
      <c r="A871" s="283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</row>
    <row r="872" spans="1:26" ht="18.600000000000001" customHeight="1" x14ac:dyDescent="0.35">
      <c r="A872" s="283"/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</row>
    <row r="873" spans="1:26" ht="18.600000000000001" customHeight="1" x14ac:dyDescent="0.35">
      <c r="A873" s="283"/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</row>
    <row r="874" spans="1:26" ht="18.600000000000001" customHeight="1" x14ac:dyDescent="0.35">
      <c r="A874" s="283"/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</row>
    <row r="875" spans="1:26" ht="18.600000000000001" customHeight="1" x14ac:dyDescent="0.35">
      <c r="A875" s="283"/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</row>
    <row r="876" spans="1:26" ht="18.600000000000001" customHeight="1" x14ac:dyDescent="0.35">
      <c r="A876" s="283"/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</row>
    <row r="877" spans="1:26" ht="18.600000000000001" customHeight="1" x14ac:dyDescent="0.35">
      <c r="A877" s="283"/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</row>
    <row r="878" spans="1:26" ht="18.600000000000001" customHeight="1" x14ac:dyDescent="0.35">
      <c r="A878" s="283"/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</row>
    <row r="879" spans="1:26" ht="18.600000000000001" customHeight="1" x14ac:dyDescent="0.35">
      <c r="A879" s="283"/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</row>
    <row r="880" spans="1:26" ht="18.600000000000001" customHeight="1" x14ac:dyDescent="0.35">
      <c r="A880" s="283"/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</row>
    <row r="881" spans="1:26" ht="18.600000000000001" customHeight="1" x14ac:dyDescent="0.35">
      <c r="A881" s="283"/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</row>
    <row r="882" spans="1:26" ht="18.600000000000001" customHeight="1" x14ac:dyDescent="0.35">
      <c r="A882" s="283"/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</row>
    <row r="883" spans="1:26" ht="18.600000000000001" customHeight="1" x14ac:dyDescent="0.35">
      <c r="A883" s="283"/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</row>
    <row r="884" spans="1:26" ht="18.600000000000001" customHeight="1" x14ac:dyDescent="0.35">
      <c r="A884" s="283"/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</row>
    <row r="885" spans="1:26" ht="18.600000000000001" customHeight="1" x14ac:dyDescent="0.35">
      <c r="A885" s="283"/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</row>
    <row r="886" spans="1:26" ht="18.600000000000001" customHeight="1" x14ac:dyDescent="0.35">
      <c r="A886" s="283"/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</row>
    <row r="887" spans="1:26" ht="18.600000000000001" customHeight="1" x14ac:dyDescent="0.35">
      <c r="A887" s="283"/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</row>
    <row r="888" spans="1:26" ht="18.600000000000001" customHeight="1" x14ac:dyDescent="0.35">
      <c r="A888" s="283"/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</row>
    <row r="889" spans="1:26" ht="18.600000000000001" customHeight="1" x14ac:dyDescent="0.35">
      <c r="A889" s="283"/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</row>
    <row r="890" spans="1:26" ht="18.600000000000001" customHeight="1" x14ac:dyDescent="0.35">
      <c r="A890" s="283"/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</row>
    <row r="891" spans="1:26" ht="18.600000000000001" customHeight="1" x14ac:dyDescent="0.35">
      <c r="A891" s="283"/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</row>
    <row r="892" spans="1:26" ht="18.600000000000001" customHeight="1" x14ac:dyDescent="0.35">
      <c r="A892" s="283"/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</row>
    <row r="893" spans="1:26" ht="18.600000000000001" customHeight="1" x14ac:dyDescent="0.35">
      <c r="A893" s="283"/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</row>
    <row r="894" spans="1:26" ht="18.600000000000001" customHeight="1" x14ac:dyDescent="0.35">
      <c r="A894" s="283"/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</row>
    <row r="895" spans="1:26" ht="18.600000000000001" customHeight="1" x14ac:dyDescent="0.35">
      <c r="A895" s="283"/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</row>
    <row r="896" spans="1:26" ht="18.600000000000001" customHeight="1" x14ac:dyDescent="0.35">
      <c r="A896" s="283"/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</row>
    <row r="897" spans="1:26" ht="18.600000000000001" customHeight="1" x14ac:dyDescent="0.35">
      <c r="A897" s="283"/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</row>
    <row r="898" spans="1:26" ht="18.600000000000001" customHeight="1" x14ac:dyDescent="0.35">
      <c r="A898" s="283"/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</row>
    <row r="899" spans="1:26" ht="18.600000000000001" customHeight="1" x14ac:dyDescent="0.35">
      <c r="A899" s="283"/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</row>
    <row r="900" spans="1:26" ht="18.600000000000001" customHeight="1" x14ac:dyDescent="0.35">
      <c r="A900" s="283"/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</row>
    <row r="901" spans="1:26" ht="18.600000000000001" customHeight="1" x14ac:dyDescent="0.35">
      <c r="A901" s="283"/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</row>
    <row r="902" spans="1:26" ht="18.600000000000001" customHeight="1" x14ac:dyDescent="0.35">
      <c r="A902" s="283"/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</row>
    <row r="903" spans="1:26" ht="18.600000000000001" customHeight="1" x14ac:dyDescent="0.35">
      <c r="A903" s="283"/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</row>
    <row r="904" spans="1:26" ht="18.600000000000001" customHeight="1" x14ac:dyDescent="0.35">
      <c r="A904" s="283"/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</row>
    <row r="905" spans="1:26" ht="18.600000000000001" customHeight="1" x14ac:dyDescent="0.35">
      <c r="A905" s="283"/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</row>
    <row r="906" spans="1:26" ht="18.600000000000001" customHeight="1" x14ac:dyDescent="0.35">
      <c r="A906" s="283"/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</row>
    <row r="907" spans="1:26" ht="18.600000000000001" customHeight="1" x14ac:dyDescent="0.35">
      <c r="A907" s="283"/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</row>
    <row r="908" spans="1:26" ht="18.600000000000001" customHeight="1" x14ac:dyDescent="0.35">
      <c r="A908" s="283"/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</row>
    <row r="909" spans="1:26" ht="18.600000000000001" customHeight="1" x14ac:dyDescent="0.35">
      <c r="A909" s="283"/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</row>
    <row r="910" spans="1:26" ht="18.600000000000001" customHeight="1" x14ac:dyDescent="0.35">
      <c r="A910" s="283"/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</row>
    <row r="911" spans="1:26" ht="18.600000000000001" customHeight="1" x14ac:dyDescent="0.35">
      <c r="A911" s="283"/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</row>
    <row r="912" spans="1:26" ht="18.600000000000001" customHeight="1" x14ac:dyDescent="0.35">
      <c r="A912" s="283"/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</row>
    <row r="913" spans="1:26" ht="18.600000000000001" customHeight="1" x14ac:dyDescent="0.35">
      <c r="A913" s="283"/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</row>
    <row r="914" spans="1:26" ht="18.600000000000001" customHeight="1" x14ac:dyDescent="0.35">
      <c r="A914" s="283"/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</row>
    <row r="915" spans="1:26" ht="18.600000000000001" customHeight="1" x14ac:dyDescent="0.35">
      <c r="A915" s="283"/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</row>
    <row r="916" spans="1:26" ht="18.600000000000001" customHeight="1" x14ac:dyDescent="0.35">
      <c r="A916" s="283"/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</row>
    <row r="917" spans="1:26" ht="18.600000000000001" customHeight="1" x14ac:dyDescent="0.35">
      <c r="A917" s="283"/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</row>
    <row r="918" spans="1:26" ht="18.600000000000001" customHeight="1" x14ac:dyDescent="0.35">
      <c r="A918" s="283"/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</row>
    <row r="919" spans="1:26" ht="18.600000000000001" customHeight="1" x14ac:dyDescent="0.35">
      <c r="A919" s="283"/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</row>
    <row r="920" spans="1:26" ht="18.600000000000001" customHeight="1" x14ac:dyDescent="0.35">
      <c r="A920" s="283"/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</row>
    <row r="921" spans="1:26" ht="18.600000000000001" customHeight="1" x14ac:dyDescent="0.35">
      <c r="A921" s="283"/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</row>
    <row r="922" spans="1:26" ht="18.600000000000001" customHeight="1" x14ac:dyDescent="0.35">
      <c r="A922" s="283"/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</row>
    <row r="923" spans="1:26" ht="18.600000000000001" customHeight="1" x14ac:dyDescent="0.35">
      <c r="A923" s="283"/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</row>
    <row r="924" spans="1:26" ht="18.600000000000001" customHeight="1" x14ac:dyDescent="0.35">
      <c r="A924" s="283"/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</row>
    <row r="925" spans="1:26" ht="18.600000000000001" customHeight="1" x14ac:dyDescent="0.35">
      <c r="A925" s="283"/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</row>
    <row r="926" spans="1:26" ht="18.600000000000001" customHeight="1" x14ac:dyDescent="0.35">
      <c r="A926" s="283"/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</row>
    <row r="927" spans="1:26" ht="18.600000000000001" customHeight="1" x14ac:dyDescent="0.35">
      <c r="A927" s="283"/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</row>
    <row r="928" spans="1:26" ht="18.600000000000001" customHeight="1" x14ac:dyDescent="0.35">
      <c r="A928" s="283"/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</row>
    <row r="929" spans="1:26" ht="18.600000000000001" customHeight="1" x14ac:dyDescent="0.35">
      <c r="A929" s="283"/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</row>
    <row r="930" spans="1:26" ht="18.600000000000001" customHeight="1" x14ac:dyDescent="0.35">
      <c r="A930" s="283"/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</row>
    <row r="931" spans="1:26" ht="18.600000000000001" customHeight="1" x14ac:dyDescent="0.35">
      <c r="A931" s="283"/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</row>
    <row r="932" spans="1:26" ht="18.600000000000001" customHeight="1" x14ac:dyDescent="0.35">
      <c r="A932" s="283"/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</row>
    <row r="933" spans="1:26" ht="18.600000000000001" customHeight="1" x14ac:dyDescent="0.35">
      <c r="A933" s="283"/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</row>
    <row r="934" spans="1:26" ht="18.600000000000001" customHeight="1" x14ac:dyDescent="0.35">
      <c r="A934" s="283"/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</row>
    <row r="935" spans="1:26" ht="18.600000000000001" customHeight="1" x14ac:dyDescent="0.35">
      <c r="A935" s="283"/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</row>
    <row r="936" spans="1:26" ht="18.600000000000001" customHeight="1" x14ac:dyDescent="0.35">
      <c r="A936" s="283"/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</row>
    <row r="937" spans="1:26" ht="18.600000000000001" customHeight="1" x14ac:dyDescent="0.35">
      <c r="A937" s="283"/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</row>
    <row r="938" spans="1:26" ht="18.600000000000001" customHeight="1" x14ac:dyDescent="0.35">
      <c r="A938" s="283"/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</row>
    <row r="939" spans="1:26" ht="18.600000000000001" customHeight="1" x14ac:dyDescent="0.35">
      <c r="A939" s="283"/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</row>
    <row r="940" spans="1:26" ht="18.600000000000001" customHeight="1" x14ac:dyDescent="0.35">
      <c r="A940" s="283"/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</row>
    <row r="941" spans="1:26" ht="18.600000000000001" customHeight="1" x14ac:dyDescent="0.35">
      <c r="A941" s="283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</row>
    <row r="942" spans="1:26" ht="18.600000000000001" customHeight="1" x14ac:dyDescent="0.35">
      <c r="A942" s="283"/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</row>
    <row r="943" spans="1:26" ht="18.600000000000001" customHeight="1" x14ac:dyDescent="0.35">
      <c r="A943" s="283"/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</row>
    <row r="944" spans="1:26" ht="18.600000000000001" customHeight="1" x14ac:dyDescent="0.35">
      <c r="A944" s="283"/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</row>
    <row r="945" spans="1:26" ht="18.600000000000001" customHeight="1" x14ac:dyDescent="0.35">
      <c r="A945" s="283"/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</row>
    <row r="946" spans="1:26" ht="18.600000000000001" customHeight="1" x14ac:dyDescent="0.35">
      <c r="A946" s="283"/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</row>
    <row r="947" spans="1:26" ht="18.600000000000001" customHeight="1" x14ac:dyDescent="0.35">
      <c r="A947" s="283"/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</row>
    <row r="948" spans="1:26" ht="18.600000000000001" customHeight="1" x14ac:dyDescent="0.35">
      <c r="A948" s="283"/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</row>
    <row r="949" spans="1:26" ht="18.600000000000001" customHeight="1" x14ac:dyDescent="0.35">
      <c r="A949" s="283"/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</row>
    <row r="950" spans="1:26" ht="18.600000000000001" customHeight="1" x14ac:dyDescent="0.35">
      <c r="A950" s="283"/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</row>
    <row r="951" spans="1:26" ht="18.600000000000001" customHeight="1" x14ac:dyDescent="0.35">
      <c r="A951" s="283"/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</row>
    <row r="952" spans="1:26" ht="18.600000000000001" customHeight="1" x14ac:dyDescent="0.35">
      <c r="A952" s="283"/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</row>
    <row r="953" spans="1:26" ht="18.600000000000001" customHeight="1" x14ac:dyDescent="0.35">
      <c r="A953" s="283"/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</row>
    <row r="954" spans="1:26" ht="18.600000000000001" customHeight="1" x14ac:dyDescent="0.35">
      <c r="A954" s="283"/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</row>
    <row r="955" spans="1:26" ht="18.600000000000001" customHeight="1" x14ac:dyDescent="0.35">
      <c r="A955" s="283"/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</row>
    <row r="956" spans="1:26" ht="18.600000000000001" customHeight="1" x14ac:dyDescent="0.35">
      <c r="A956" s="283"/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</row>
    <row r="957" spans="1:26" ht="18.600000000000001" customHeight="1" x14ac:dyDescent="0.35">
      <c r="A957" s="283"/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</row>
    <row r="958" spans="1:26" ht="18.600000000000001" customHeight="1" x14ac:dyDescent="0.35">
      <c r="A958" s="283"/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</row>
    <row r="959" spans="1:26" ht="18.600000000000001" customHeight="1" x14ac:dyDescent="0.35">
      <c r="A959" s="283"/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</row>
    <row r="960" spans="1:26" ht="18.600000000000001" customHeight="1" x14ac:dyDescent="0.35">
      <c r="A960" s="283"/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</row>
    <row r="961" spans="1:26" ht="18.600000000000001" customHeight="1" x14ac:dyDescent="0.35">
      <c r="A961" s="283"/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</row>
    <row r="962" spans="1:26" ht="18.600000000000001" customHeight="1" x14ac:dyDescent="0.35">
      <c r="A962" s="283"/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</row>
    <row r="963" spans="1:26" ht="18.600000000000001" customHeight="1" x14ac:dyDescent="0.35">
      <c r="A963" s="283"/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</row>
    <row r="964" spans="1:26" ht="18.600000000000001" customHeight="1" x14ac:dyDescent="0.35">
      <c r="A964" s="283"/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</row>
    <row r="965" spans="1:26" ht="18.600000000000001" customHeight="1" x14ac:dyDescent="0.35">
      <c r="A965" s="283"/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</row>
    <row r="966" spans="1:26" ht="18.600000000000001" customHeight="1" x14ac:dyDescent="0.35">
      <c r="A966" s="283"/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</row>
    <row r="967" spans="1:26" ht="18.600000000000001" customHeight="1" x14ac:dyDescent="0.35">
      <c r="A967" s="283"/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</row>
    <row r="968" spans="1:26" ht="18.600000000000001" customHeight="1" x14ac:dyDescent="0.35">
      <c r="A968" s="283"/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</row>
    <row r="969" spans="1:26" ht="18.600000000000001" customHeight="1" x14ac:dyDescent="0.35">
      <c r="A969" s="283"/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</row>
    <row r="970" spans="1:26" ht="18.600000000000001" customHeight="1" x14ac:dyDescent="0.35">
      <c r="A970" s="283"/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</row>
    <row r="971" spans="1:26" ht="18.600000000000001" customHeight="1" x14ac:dyDescent="0.35">
      <c r="A971" s="283"/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</row>
    <row r="972" spans="1:26" ht="18.600000000000001" customHeight="1" x14ac:dyDescent="0.35">
      <c r="A972" s="283"/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</row>
    <row r="973" spans="1:26" ht="18.600000000000001" customHeight="1" x14ac:dyDescent="0.35">
      <c r="A973" s="283"/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</row>
    <row r="974" spans="1:26" ht="18.600000000000001" customHeight="1" x14ac:dyDescent="0.35">
      <c r="A974" s="283"/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</row>
    <row r="975" spans="1:26" ht="18.600000000000001" customHeight="1" x14ac:dyDescent="0.35">
      <c r="A975" s="283"/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</row>
    <row r="976" spans="1:26" ht="18.600000000000001" customHeight="1" x14ac:dyDescent="0.35">
      <c r="A976" s="283"/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</row>
    <row r="977" spans="1:26" ht="18.600000000000001" customHeight="1" x14ac:dyDescent="0.35">
      <c r="A977" s="283"/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</row>
    <row r="978" spans="1:26" ht="18.600000000000001" customHeight="1" x14ac:dyDescent="0.35">
      <c r="A978" s="283"/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</row>
    <row r="979" spans="1:26" ht="18.600000000000001" customHeight="1" x14ac:dyDescent="0.35">
      <c r="A979" s="283"/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</row>
    <row r="980" spans="1:26" ht="18.600000000000001" customHeight="1" x14ac:dyDescent="0.35">
      <c r="A980" s="283"/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</row>
    <row r="981" spans="1:26" ht="18.600000000000001" customHeight="1" x14ac:dyDescent="0.35">
      <c r="A981" s="283"/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</row>
    <row r="982" spans="1:26" ht="18.600000000000001" customHeight="1" x14ac:dyDescent="0.35">
      <c r="A982" s="283"/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</row>
    <row r="983" spans="1:26" ht="18.600000000000001" customHeight="1" x14ac:dyDescent="0.35">
      <c r="A983" s="283"/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</row>
    <row r="984" spans="1:26" ht="18.600000000000001" customHeight="1" x14ac:dyDescent="0.35">
      <c r="A984" s="283"/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</row>
    <row r="985" spans="1:26" ht="18.600000000000001" customHeight="1" x14ac:dyDescent="0.35">
      <c r="A985" s="283"/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</row>
    <row r="986" spans="1:26" ht="18.600000000000001" customHeight="1" x14ac:dyDescent="0.35">
      <c r="A986" s="283"/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</row>
    <row r="987" spans="1:26" ht="18.600000000000001" customHeight="1" x14ac:dyDescent="0.35">
      <c r="A987" s="283"/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</row>
    <row r="988" spans="1:26" ht="18.600000000000001" customHeight="1" x14ac:dyDescent="0.35">
      <c r="A988" s="283"/>
      <c r="B988" s="283"/>
      <c r="C988" s="283"/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</row>
    <row r="989" spans="1:26" ht="18.600000000000001" customHeight="1" x14ac:dyDescent="0.35">
      <c r="A989" s="283"/>
      <c r="B989" s="283"/>
      <c r="C989" s="283"/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</row>
    <row r="990" spans="1:26" ht="18.600000000000001" customHeight="1" x14ac:dyDescent="0.35">
      <c r="A990" s="283"/>
      <c r="B990" s="283"/>
      <c r="C990" s="283"/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</row>
    <row r="991" spans="1:26" ht="18.600000000000001" customHeight="1" x14ac:dyDescent="0.35">
      <c r="A991" s="283"/>
      <c r="B991" s="283"/>
      <c r="C991" s="283"/>
      <c r="D991" s="283"/>
      <c r="E991" s="283"/>
      <c r="F991" s="283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  <c r="Z991" s="283"/>
    </row>
    <row r="992" spans="1:26" ht="18.600000000000001" customHeight="1" x14ac:dyDescent="0.35">
      <c r="A992" s="283"/>
      <c r="B992" s="283"/>
      <c r="C992" s="283"/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</row>
    <row r="993" spans="1:26" ht="18.600000000000001" customHeight="1" x14ac:dyDescent="0.35">
      <c r="A993" s="283"/>
      <c r="B993" s="283"/>
      <c r="C993" s="283"/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</row>
    <row r="994" spans="1:26" ht="18.600000000000001" customHeight="1" x14ac:dyDescent="0.35">
      <c r="A994" s="283"/>
      <c r="B994" s="283"/>
      <c r="C994" s="283"/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</row>
    <row r="995" spans="1:26" ht="18.600000000000001" customHeight="1" x14ac:dyDescent="0.35">
      <c r="A995" s="283"/>
      <c r="B995" s="283"/>
      <c r="C995" s="283"/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</row>
    <row r="996" spans="1:26" ht="18.600000000000001" customHeight="1" x14ac:dyDescent="0.35">
      <c r="A996" s="283"/>
      <c r="B996" s="283"/>
      <c r="C996" s="283"/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</row>
    <row r="997" spans="1:26" ht="18.600000000000001" customHeight="1" x14ac:dyDescent="0.35">
      <c r="A997" s="283"/>
      <c r="B997" s="283"/>
      <c r="C997" s="283"/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</row>
    <row r="998" spans="1:26" ht="18.600000000000001" customHeight="1" x14ac:dyDescent="0.35">
      <c r="A998" s="283"/>
      <c r="B998" s="283"/>
      <c r="C998" s="283"/>
      <c r="D998" s="283"/>
      <c r="E998" s="283"/>
      <c r="F998" s="283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  <c r="T998" s="283"/>
      <c r="U998" s="283"/>
      <c r="V998" s="283"/>
      <c r="W998" s="283"/>
      <c r="X998" s="283"/>
      <c r="Y998" s="283"/>
      <c r="Z998" s="283"/>
    </row>
    <row r="999" spans="1:26" ht="18.600000000000001" customHeight="1" x14ac:dyDescent="0.35">
      <c r="A999" s="283"/>
      <c r="B999" s="283"/>
      <c r="C999" s="283"/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  <c r="X999" s="283"/>
      <c r="Y999" s="283"/>
      <c r="Z999" s="283"/>
    </row>
    <row r="1000" spans="1:26" ht="18.600000000000001" customHeight="1" x14ac:dyDescent="0.35">
      <c r="A1000" s="283"/>
      <c r="B1000" s="283"/>
      <c r="C1000" s="283"/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</row>
  </sheetData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ADEE-B35D-41BE-AA1D-DEB578FB6397}">
  <sheetPr>
    <tabColor rgb="FFC00000"/>
  </sheetPr>
  <dimension ref="A1:Z1008"/>
  <sheetViews>
    <sheetView topLeftCell="A46" zoomScale="39" zoomScaleNormal="80" workbookViewId="0">
      <selection activeCell="F5" sqref="F5"/>
    </sheetView>
  </sheetViews>
  <sheetFormatPr defaultColWidth="14.6640625" defaultRowHeight="18" x14ac:dyDescent="0.35"/>
  <cols>
    <col min="1" max="1" width="8.88671875" style="307" customWidth="1"/>
    <col min="2" max="2" width="27.33203125" style="307" customWidth="1"/>
    <col min="3" max="3" width="19.44140625" style="307" customWidth="1"/>
    <col min="4" max="4" width="16.5546875" style="307" customWidth="1"/>
    <col min="5" max="5" width="17.21875" style="307" customWidth="1"/>
    <col min="6" max="6" width="22.6640625" style="307" bestFit="1" customWidth="1"/>
    <col min="7" max="7" width="22.21875" style="307" bestFit="1" customWidth="1"/>
    <col min="8" max="8" width="24.21875" style="307" bestFit="1" customWidth="1"/>
    <col min="9" max="9" width="27.6640625" style="307" bestFit="1" customWidth="1"/>
    <col min="10" max="10" width="26.88671875" style="307" customWidth="1"/>
    <col min="11" max="11" width="21.5546875" style="307" customWidth="1"/>
    <col min="12" max="13" width="13.6640625" style="307" bestFit="1" customWidth="1"/>
    <col min="14" max="14" width="13.21875" style="307" bestFit="1" customWidth="1"/>
    <col min="15" max="16" width="13.6640625" style="307" bestFit="1" customWidth="1"/>
    <col min="17" max="18" width="19.21875" style="307" bestFit="1" customWidth="1"/>
    <col min="19" max="20" width="16.109375" style="307" bestFit="1" customWidth="1"/>
    <col min="21" max="26" width="8.88671875" style="307" customWidth="1"/>
    <col min="27" max="16384" width="14.6640625" style="307"/>
  </cols>
  <sheetData>
    <row r="1" spans="1:26" x14ac:dyDescent="0.35">
      <c r="A1" s="306"/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spans="1:26" x14ac:dyDescent="0.35">
      <c r="A2" s="306"/>
      <c r="B2" s="306"/>
      <c r="C2" s="306"/>
      <c r="D2" s="308"/>
      <c r="E2" s="308"/>
      <c r="F2" s="308"/>
      <c r="G2" s="308"/>
      <c r="H2" s="308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 spans="1:26" x14ac:dyDescent="0.35">
      <c r="A3" s="306"/>
      <c r="B3" s="309" t="s">
        <v>65</v>
      </c>
      <c r="C3" s="309" t="s">
        <v>308</v>
      </c>
      <c r="D3" s="308"/>
      <c r="E3" s="308"/>
      <c r="F3" s="308"/>
      <c r="G3" s="308"/>
      <c r="H3" s="308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</row>
    <row r="4" spans="1:26" ht="36" x14ac:dyDescent="0.35">
      <c r="A4" s="306"/>
      <c r="B4" s="310" t="s">
        <v>88</v>
      </c>
      <c r="C4" s="311">
        <v>2000</v>
      </c>
      <c r="D4" s="308"/>
      <c r="E4" s="312" t="s">
        <v>309</v>
      </c>
      <c r="F4" s="313" t="s">
        <v>308</v>
      </c>
      <c r="G4" s="313" t="s">
        <v>312</v>
      </c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</row>
    <row r="5" spans="1:26" ht="36" x14ac:dyDescent="0.35">
      <c r="A5" s="306"/>
      <c r="B5" s="310" t="s">
        <v>88</v>
      </c>
      <c r="C5" s="311">
        <v>20000</v>
      </c>
      <c r="D5" s="308"/>
      <c r="E5" s="312" t="s">
        <v>306</v>
      </c>
      <c r="F5" s="314">
        <f>LOOKUP(E5,$B$3:$B$24,$C$3:$C$24)</f>
        <v>40000</v>
      </c>
      <c r="G5" s="314">
        <f>LOOKUP(E5,$B$3:$C$24)</f>
        <v>40000</v>
      </c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</row>
    <row r="6" spans="1:26" x14ac:dyDescent="0.35">
      <c r="A6" s="306"/>
      <c r="B6" s="310" t="s">
        <v>304</v>
      </c>
      <c r="C6" s="311">
        <v>14000</v>
      </c>
      <c r="D6" s="308"/>
      <c r="E6" s="312" t="s">
        <v>301</v>
      </c>
      <c r="F6" s="314">
        <f t="shared" ref="F6:F9" si="0">LOOKUP(E6,$B$3:$B$24,$C$3:$C$24)</f>
        <v>17000</v>
      </c>
      <c r="G6" s="314">
        <f t="shared" ref="G6:G9" si="1">LOOKUP(E6,$B$3:$C$24)</f>
        <v>17000</v>
      </c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</row>
    <row r="7" spans="1:26" ht="36" x14ac:dyDescent="0.35">
      <c r="A7" s="306"/>
      <c r="B7" s="315" t="s">
        <v>304</v>
      </c>
      <c r="C7" s="316">
        <v>25000</v>
      </c>
      <c r="D7" s="308"/>
      <c r="E7" s="312" t="s">
        <v>304</v>
      </c>
      <c r="F7" s="314">
        <f t="shared" si="0"/>
        <v>25000</v>
      </c>
      <c r="G7" s="314">
        <f t="shared" si="1"/>
        <v>25000</v>
      </c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</row>
    <row r="8" spans="1:26" x14ac:dyDescent="0.35">
      <c r="A8" s="306"/>
      <c r="B8" s="310" t="s">
        <v>305</v>
      </c>
      <c r="C8" s="311">
        <v>16000</v>
      </c>
      <c r="D8" s="308"/>
      <c r="E8" s="312" t="s">
        <v>311</v>
      </c>
      <c r="F8" s="314">
        <f t="shared" si="0"/>
        <v>40000</v>
      </c>
      <c r="G8" s="314">
        <f t="shared" si="1"/>
        <v>40000</v>
      </c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</row>
    <row r="9" spans="1:26" x14ac:dyDescent="0.35">
      <c r="A9" s="306"/>
      <c r="B9" s="310" t="s">
        <v>305</v>
      </c>
      <c r="C9" s="311">
        <v>4000</v>
      </c>
      <c r="D9" s="308"/>
      <c r="E9" s="312" t="s">
        <v>310</v>
      </c>
      <c r="F9" s="314">
        <f t="shared" si="0"/>
        <v>50000</v>
      </c>
      <c r="G9" s="314">
        <f t="shared" si="1"/>
        <v>50000</v>
      </c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</row>
    <row r="10" spans="1:26" ht="36" x14ac:dyDescent="0.35">
      <c r="A10" s="306"/>
      <c r="B10" s="310" t="s">
        <v>310</v>
      </c>
      <c r="C10" s="311">
        <v>30000</v>
      </c>
      <c r="D10" s="308"/>
      <c r="E10" s="312" t="s">
        <v>88</v>
      </c>
      <c r="F10" s="314">
        <f>LOOKUP(E10,$B$3:$B$24,$C$3:$C$24)</f>
        <v>20000</v>
      </c>
      <c r="G10" s="314">
        <f>LOOKUP(E10,$B$3:$C$24)</f>
        <v>20000</v>
      </c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</row>
    <row r="11" spans="1:26" x14ac:dyDescent="0.35">
      <c r="A11" s="306"/>
      <c r="B11" s="310" t="s">
        <v>310</v>
      </c>
      <c r="C11" s="311">
        <v>50000</v>
      </c>
      <c r="F11" s="308"/>
      <c r="G11" s="308"/>
      <c r="H11" s="308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</row>
    <row r="12" spans="1:26" x14ac:dyDescent="0.35">
      <c r="A12" s="306"/>
      <c r="B12" s="310" t="s">
        <v>301</v>
      </c>
      <c r="C12" s="311">
        <v>4000</v>
      </c>
      <c r="D12" s="308"/>
      <c r="E12" s="308"/>
      <c r="F12" s="308"/>
      <c r="G12" s="308"/>
      <c r="H12" s="308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</row>
    <row r="13" spans="1:26" x14ac:dyDescent="0.35">
      <c r="A13" s="306"/>
      <c r="B13" s="310" t="s">
        <v>301</v>
      </c>
      <c r="C13" s="311">
        <v>17000</v>
      </c>
      <c r="D13" s="308"/>
      <c r="E13" s="308"/>
      <c r="F13" s="308"/>
      <c r="G13" s="308"/>
      <c r="H13" s="308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</row>
    <row r="14" spans="1:26" x14ac:dyDescent="0.35">
      <c r="A14" s="306"/>
      <c r="B14" s="310" t="s">
        <v>311</v>
      </c>
      <c r="C14" s="311">
        <v>20000</v>
      </c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  <c r="Z14" s="306"/>
    </row>
    <row r="15" spans="1:26" x14ac:dyDescent="0.35">
      <c r="A15" s="306"/>
      <c r="B15" s="315" t="s">
        <v>311</v>
      </c>
      <c r="C15" s="316">
        <v>40000</v>
      </c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</row>
    <row r="16" spans="1:26" x14ac:dyDescent="0.35">
      <c r="A16" s="306"/>
      <c r="B16" s="310" t="s">
        <v>302</v>
      </c>
      <c r="C16" s="311">
        <v>16000</v>
      </c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</row>
    <row r="17" spans="1:26" x14ac:dyDescent="0.35">
      <c r="A17" s="306"/>
      <c r="B17" s="315" t="s">
        <v>302</v>
      </c>
      <c r="C17" s="316">
        <v>20000</v>
      </c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</row>
    <row r="18" spans="1:26" x14ac:dyDescent="0.35">
      <c r="A18" s="306"/>
      <c r="B18" s="310" t="s">
        <v>84</v>
      </c>
      <c r="C18" s="311">
        <v>25000</v>
      </c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</row>
    <row r="19" spans="1:26" x14ac:dyDescent="0.35">
      <c r="A19" s="306"/>
      <c r="B19" s="315" t="s">
        <v>84</v>
      </c>
      <c r="C19" s="316">
        <v>30000</v>
      </c>
      <c r="D19" s="317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</row>
    <row r="20" spans="1:26" x14ac:dyDescent="0.35">
      <c r="A20" s="306"/>
      <c r="B20" s="310" t="s">
        <v>306</v>
      </c>
      <c r="C20" s="311">
        <v>20000</v>
      </c>
      <c r="D20" s="317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</row>
    <row r="21" spans="1:26" x14ac:dyDescent="0.35">
      <c r="A21" s="306"/>
      <c r="B21" s="315" t="s">
        <v>306</v>
      </c>
      <c r="C21" s="316">
        <v>40000</v>
      </c>
      <c r="D21" s="317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</row>
    <row r="22" spans="1:26" x14ac:dyDescent="0.35">
      <c r="A22" s="306"/>
      <c r="B22" s="310" t="s">
        <v>303</v>
      </c>
      <c r="C22" s="311">
        <v>10000</v>
      </c>
      <c r="D22" s="317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</row>
    <row r="23" spans="1:26" x14ac:dyDescent="0.35">
      <c r="A23" s="306"/>
      <c r="B23" s="315" t="s">
        <v>303</v>
      </c>
      <c r="C23" s="316">
        <v>35000</v>
      </c>
      <c r="D23" s="317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</row>
    <row r="24" spans="1:26" x14ac:dyDescent="0.35">
      <c r="A24" s="306"/>
      <c r="B24" s="310" t="s">
        <v>307</v>
      </c>
      <c r="C24" s="311">
        <v>25000</v>
      </c>
      <c r="D24" s="317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</row>
    <row r="25" spans="1:26" x14ac:dyDescent="0.35">
      <c r="A25" s="306"/>
      <c r="B25" s="318"/>
      <c r="C25" s="319"/>
      <c r="D25" s="317"/>
      <c r="L25" s="306"/>
      <c r="M25" s="306"/>
      <c r="N25" s="306"/>
      <c r="O25" s="306"/>
      <c r="P25" s="306"/>
      <c r="Q25" s="306"/>
      <c r="R25" s="306"/>
      <c r="S25" s="306"/>
      <c r="T25" s="306"/>
      <c r="U25" s="306"/>
      <c r="V25" s="306"/>
      <c r="W25" s="306"/>
      <c r="X25" s="306"/>
      <c r="Y25" s="306"/>
      <c r="Z25" s="306"/>
    </row>
    <row r="26" spans="1:26" x14ac:dyDescent="0.35">
      <c r="A26" s="306"/>
      <c r="B26" s="318"/>
      <c r="C26" s="319"/>
      <c r="D26" s="317"/>
      <c r="L26" s="306"/>
      <c r="M26" s="306"/>
      <c r="N26" s="306"/>
      <c r="O26" s="306"/>
      <c r="P26" s="306"/>
      <c r="Q26" s="306"/>
      <c r="R26" s="306"/>
      <c r="S26" s="306"/>
      <c r="T26" s="306"/>
      <c r="U26" s="306"/>
      <c r="V26" s="306"/>
      <c r="W26" s="306"/>
      <c r="X26" s="306"/>
      <c r="Y26" s="306"/>
      <c r="Z26" s="306"/>
    </row>
    <row r="27" spans="1:26" x14ac:dyDescent="0.35">
      <c r="A27" s="306"/>
      <c r="B27" s="317"/>
      <c r="C27" s="317"/>
      <c r="D27" s="317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</row>
    <row r="28" spans="1:26" x14ac:dyDescent="0.35">
      <c r="A28" s="306"/>
      <c r="L28" s="306"/>
      <c r="M28" s="306"/>
      <c r="N28" s="306"/>
      <c r="O28" s="306"/>
      <c r="P28" s="306"/>
      <c r="Q28" s="306"/>
      <c r="R28" s="306"/>
      <c r="S28" s="306"/>
      <c r="T28" s="306"/>
      <c r="U28" s="306"/>
      <c r="V28" s="306"/>
      <c r="W28" s="306"/>
      <c r="X28" s="306"/>
      <c r="Y28" s="306"/>
      <c r="Z28" s="306"/>
    </row>
    <row r="29" spans="1:26" x14ac:dyDescent="0.35">
      <c r="A29" s="306"/>
      <c r="L29" s="306"/>
      <c r="M29" s="306"/>
      <c r="N29" s="306"/>
      <c r="O29" s="306"/>
      <c r="P29" s="306"/>
      <c r="Q29" s="306"/>
      <c r="R29" s="306"/>
      <c r="S29" s="306"/>
      <c r="T29" s="306"/>
      <c r="U29" s="306"/>
      <c r="V29" s="306"/>
      <c r="W29" s="306"/>
      <c r="X29" s="306"/>
      <c r="Y29" s="306"/>
      <c r="Z29" s="306"/>
    </row>
    <row r="30" spans="1:26" ht="36" x14ac:dyDescent="0.35">
      <c r="A30" s="306"/>
      <c r="B30" s="320" t="s">
        <v>65</v>
      </c>
      <c r="C30" s="320" t="s">
        <v>174</v>
      </c>
      <c r="D30" s="320" t="s">
        <v>300</v>
      </c>
      <c r="E30" s="320" t="s">
        <v>308</v>
      </c>
      <c r="F30" s="306"/>
      <c r="G30" s="312" t="s">
        <v>309</v>
      </c>
      <c r="H30" s="321" t="s">
        <v>313</v>
      </c>
      <c r="I30" s="321" t="s">
        <v>314</v>
      </c>
      <c r="J30" s="321" t="s">
        <v>315</v>
      </c>
      <c r="K30" s="321" t="s">
        <v>316</v>
      </c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</row>
    <row r="31" spans="1:26" x14ac:dyDescent="0.35">
      <c r="A31" s="306"/>
      <c r="B31" s="322" t="s">
        <v>88</v>
      </c>
      <c r="C31" s="323">
        <v>36526</v>
      </c>
      <c r="D31" s="323" t="s">
        <v>81</v>
      </c>
      <c r="E31" s="311">
        <v>14000</v>
      </c>
      <c r="F31" s="306"/>
      <c r="G31" s="312" t="s">
        <v>306</v>
      </c>
      <c r="H31" s="314">
        <f>LOOKUP(G31,$B$30:$E$48,$E$30:$E$48)</f>
        <v>28000</v>
      </c>
      <c r="I31" s="314">
        <f>LOOKUP(G31,$B$30:$B$48,$E$30:$E$48)</f>
        <v>28000</v>
      </c>
      <c r="J31" s="324" t="str">
        <f>LOOKUP(G31,$B$30:$B$48,$D$30:$D$48)</f>
        <v>South</v>
      </c>
      <c r="K31" s="324">
        <f>LOOKUP(G31,$B$30:$B$48,$C$30:$C$48)</f>
        <v>36540</v>
      </c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</row>
    <row r="32" spans="1:26" x14ac:dyDescent="0.35">
      <c r="A32" s="306"/>
      <c r="B32" s="322" t="s">
        <v>88</v>
      </c>
      <c r="C32" s="323">
        <v>36528</v>
      </c>
      <c r="D32" s="323" t="s">
        <v>71</v>
      </c>
      <c r="E32" s="311">
        <v>16000</v>
      </c>
      <c r="F32" s="306"/>
      <c r="G32" s="312" t="s">
        <v>301</v>
      </c>
      <c r="H32" s="314">
        <f t="shared" ref="H32:H37" si="2">LOOKUP(G32,$B$30:$E$48,$E$30:$E$48)</f>
        <v>20000</v>
      </c>
      <c r="I32" s="314">
        <f t="shared" ref="I32:I37" si="3">LOOKUP(G32,$B$30:$B$48,$E$30:$E$48)</f>
        <v>20000</v>
      </c>
      <c r="J32" s="324" t="str">
        <f t="shared" ref="J32:J37" si="4">LOOKUP(G32,$B$30:$B$48,$D$30:$D$48)</f>
        <v>South</v>
      </c>
      <c r="K32" s="324">
        <f t="shared" ref="K32:K37" si="5">LOOKUP(G32,$B$30:$B$48,$C$30:$C$48)</f>
        <v>36538</v>
      </c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</row>
    <row r="33" spans="1:26" x14ac:dyDescent="0.35">
      <c r="A33" s="306"/>
      <c r="B33" s="322" t="s">
        <v>304</v>
      </c>
      <c r="C33" s="323">
        <v>36533</v>
      </c>
      <c r="D33" s="323" t="s">
        <v>73</v>
      </c>
      <c r="E33" s="311">
        <v>2000</v>
      </c>
      <c r="F33" s="306"/>
      <c r="G33" s="312" t="s">
        <v>304</v>
      </c>
      <c r="H33" s="314">
        <f t="shared" si="2"/>
        <v>50000</v>
      </c>
      <c r="I33" s="314">
        <f t="shared" si="3"/>
        <v>50000</v>
      </c>
      <c r="J33" s="324" t="str">
        <f t="shared" si="4"/>
        <v>West</v>
      </c>
      <c r="K33" s="324">
        <f t="shared" si="5"/>
        <v>36537</v>
      </c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</row>
    <row r="34" spans="1:26" x14ac:dyDescent="0.35">
      <c r="A34" s="306"/>
      <c r="B34" s="322" t="s">
        <v>304</v>
      </c>
      <c r="C34" s="323">
        <v>36531</v>
      </c>
      <c r="D34" s="323" t="s">
        <v>73</v>
      </c>
      <c r="E34" s="311">
        <v>4000</v>
      </c>
      <c r="F34" s="306"/>
      <c r="G34" s="312" t="s">
        <v>311</v>
      </c>
      <c r="H34" s="314">
        <f t="shared" si="2"/>
        <v>42000</v>
      </c>
      <c r="I34" s="314">
        <f t="shared" si="3"/>
        <v>42000</v>
      </c>
      <c r="J34" s="324" t="str">
        <f t="shared" si="4"/>
        <v>West</v>
      </c>
      <c r="K34" s="324">
        <f t="shared" si="5"/>
        <v>36529</v>
      </c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  <c r="X34" s="306"/>
      <c r="Y34" s="306"/>
      <c r="Z34" s="306"/>
    </row>
    <row r="35" spans="1:26" ht="16.8" customHeight="1" x14ac:dyDescent="0.35">
      <c r="A35" s="306"/>
      <c r="B35" s="322" t="s">
        <v>304</v>
      </c>
      <c r="C35" s="323">
        <v>36537</v>
      </c>
      <c r="D35" s="323" t="s">
        <v>78</v>
      </c>
      <c r="E35" s="311">
        <v>50000</v>
      </c>
      <c r="F35" s="306"/>
      <c r="G35" s="312" t="s">
        <v>317</v>
      </c>
      <c r="H35" s="314">
        <f t="shared" si="2"/>
        <v>16000</v>
      </c>
      <c r="I35" s="314">
        <f t="shared" si="3"/>
        <v>16000</v>
      </c>
      <c r="J35" s="324" t="str">
        <f t="shared" si="4"/>
        <v>South</v>
      </c>
      <c r="K35" s="324">
        <f t="shared" si="5"/>
        <v>36528</v>
      </c>
      <c r="L35" s="306"/>
      <c r="M35" s="306"/>
      <c r="N35" s="306"/>
      <c r="O35" s="306"/>
      <c r="P35" s="306"/>
      <c r="Q35" s="306"/>
      <c r="R35" s="306"/>
      <c r="S35" s="306"/>
      <c r="T35" s="306"/>
      <c r="U35" s="306"/>
      <c r="V35" s="306"/>
      <c r="W35" s="306"/>
      <c r="X35" s="306"/>
      <c r="Y35" s="306"/>
      <c r="Z35" s="306"/>
    </row>
    <row r="36" spans="1:26" x14ac:dyDescent="0.35">
      <c r="A36" s="306"/>
      <c r="B36" s="322" t="s">
        <v>305</v>
      </c>
      <c r="C36" s="323">
        <v>36544</v>
      </c>
      <c r="D36" s="322" t="s">
        <v>81</v>
      </c>
      <c r="E36" s="311">
        <v>18000</v>
      </c>
      <c r="F36" s="306"/>
      <c r="G36" s="312" t="s">
        <v>303</v>
      </c>
      <c r="H36" s="314">
        <f t="shared" si="2"/>
        <v>25000</v>
      </c>
      <c r="I36" s="314">
        <f t="shared" si="3"/>
        <v>25000</v>
      </c>
      <c r="J36" s="324" t="str">
        <f t="shared" si="4"/>
        <v>North</v>
      </c>
      <c r="K36" s="324">
        <f t="shared" si="5"/>
        <v>36535</v>
      </c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</row>
    <row r="37" spans="1:26" x14ac:dyDescent="0.35">
      <c r="A37" s="306"/>
      <c r="B37" s="322" t="s">
        <v>305</v>
      </c>
      <c r="C37" s="323">
        <v>36538</v>
      </c>
      <c r="D37" s="323" t="s">
        <v>71</v>
      </c>
      <c r="E37" s="311">
        <v>30000</v>
      </c>
      <c r="F37" s="306"/>
      <c r="G37" s="312" t="s">
        <v>310</v>
      </c>
      <c r="H37" s="314">
        <f t="shared" si="2"/>
        <v>38000</v>
      </c>
      <c r="I37" s="314">
        <f t="shared" si="3"/>
        <v>38000</v>
      </c>
      <c r="J37" s="324" t="str">
        <f t="shared" si="4"/>
        <v>West</v>
      </c>
      <c r="K37" s="324">
        <f t="shared" si="5"/>
        <v>36532</v>
      </c>
      <c r="L37" s="306"/>
      <c r="M37" s="306"/>
      <c r="N37" s="306"/>
      <c r="O37" s="306"/>
      <c r="P37" s="306"/>
      <c r="Q37" s="306"/>
      <c r="R37" s="306"/>
      <c r="S37" s="306"/>
      <c r="T37" s="306"/>
      <c r="U37" s="306"/>
      <c r="V37" s="306"/>
      <c r="W37" s="306"/>
      <c r="X37" s="306"/>
      <c r="Y37" s="306"/>
      <c r="Z37" s="306"/>
    </row>
    <row r="38" spans="1:26" x14ac:dyDescent="0.35">
      <c r="A38" s="306"/>
      <c r="B38" s="322" t="s">
        <v>310</v>
      </c>
      <c r="C38" s="323">
        <v>36542</v>
      </c>
      <c r="D38" s="323" t="s">
        <v>73</v>
      </c>
      <c r="E38" s="311">
        <v>6000</v>
      </c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</row>
    <row r="39" spans="1:26" x14ac:dyDescent="0.35">
      <c r="A39" s="306"/>
      <c r="B39" s="322" t="s">
        <v>310</v>
      </c>
      <c r="C39" s="323">
        <v>36532</v>
      </c>
      <c r="D39" s="323" t="s">
        <v>78</v>
      </c>
      <c r="E39" s="311">
        <v>38000</v>
      </c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</row>
    <row r="40" spans="1:26" x14ac:dyDescent="0.35">
      <c r="A40" s="306"/>
      <c r="B40" s="322" t="s">
        <v>301</v>
      </c>
      <c r="C40" s="323">
        <v>36538</v>
      </c>
      <c r="D40" s="323" t="s">
        <v>71</v>
      </c>
      <c r="E40" s="311">
        <v>20000</v>
      </c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</row>
    <row r="41" spans="1:26" x14ac:dyDescent="0.35">
      <c r="A41" s="306"/>
      <c r="B41" s="322" t="s">
        <v>311</v>
      </c>
      <c r="C41" s="323">
        <v>36529</v>
      </c>
      <c r="D41" s="323" t="s">
        <v>78</v>
      </c>
      <c r="E41" s="311">
        <v>42000</v>
      </c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</row>
    <row r="42" spans="1:26" x14ac:dyDescent="0.35">
      <c r="A42" s="306"/>
      <c r="B42" s="322" t="s">
        <v>302</v>
      </c>
      <c r="C42" s="323">
        <v>36535</v>
      </c>
      <c r="D42" s="323" t="s">
        <v>73</v>
      </c>
      <c r="E42" s="311">
        <v>8000</v>
      </c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</row>
    <row r="43" spans="1:26" x14ac:dyDescent="0.35">
      <c r="A43" s="306"/>
      <c r="B43" s="322" t="s">
        <v>302</v>
      </c>
      <c r="C43" s="323">
        <v>36545</v>
      </c>
      <c r="D43" s="322" t="s">
        <v>81</v>
      </c>
      <c r="E43" s="311">
        <v>20000</v>
      </c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</row>
    <row r="44" spans="1:26" x14ac:dyDescent="0.35">
      <c r="A44" s="306"/>
      <c r="B44" s="322" t="s">
        <v>302</v>
      </c>
      <c r="C44" s="323">
        <v>36547</v>
      </c>
      <c r="D44" s="322" t="s">
        <v>78</v>
      </c>
      <c r="E44" s="311">
        <v>40000</v>
      </c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</row>
    <row r="45" spans="1:26" x14ac:dyDescent="0.35">
      <c r="A45" s="306"/>
      <c r="B45" s="322" t="s">
        <v>306</v>
      </c>
      <c r="C45" s="323">
        <v>36531</v>
      </c>
      <c r="D45" s="323" t="s">
        <v>73</v>
      </c>
      <c r="E45" s="311">
        <v>10000</v>
      </c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</row>
    <row r="46" spans="1:26" x14ac:dyDescent="0.35">
      <c r="A46" s="306"/>
      <c r="B46" s="325" t="s">
        <v>306</v>
      </c>
      <c r="C46" s="326">
        <v>36540</v>
      </c>
      <c r="D46" s="326" t="s">
        <v>71</v>
      </c>
      <c r="E46" s="311">
        <v>28000</v>
      </c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</row>
    <row r="47" spans="1:26" x14ac:dyDescent="0.35">
      <c r="A47" s="306"/>
      <c r="B47" s="327" t="s">
        <v>303</v>
      </c>
      <c r="C47" s="328">
        <v>36535</v>
      </c>
      <c r="D47" s="328" t="s">
        <v>81</v>
      </c>
      <c r="E47" s="311">
        <v>25000</v>
      </c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</row>
    <row r="48" spans="1:26" x14ac:dyDescent="0.35">
      <c r="A48" s="306"/>
      <c r="B48" s="322" t="s">
        <v>307</v>
      </c>
      <c r="C48" s="323">
        <v>36536</v>
      </c>
      <c r="D48" s="323" t="s">
        <v>78</v>
      </c>
      <c r="E48" s="311">
        <v>36000</v>
      </c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  <c r="X48" s="306"/>
      <c r="Y48" s="306"/>
      <c r="Z48" s="306"/>
    </row>
    <row r="49" spans="1:26" x14ac:dyDescent="0.35">
      <c r="A49" s="306"/>
      <c r="B49" s="308"/>
      <c r="C49" s="329"/>
      <c r="D49" s="329"/>
      <c r="E49" s="330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</row>
    <row r="50" spans="1:26" x14ac:dyDescent="0.35">
      <c r="A50" s="306"/>
      <c r="B50" s="308"/>
      <c r="C50" s="329"/>
      <c r="D50" s="329"/>
      <c r="E50" s="330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</row>
    <row r="51" spans="1:26" x14ac:dyDescent="0.35">
      <c r="A51" s="306"/>
      <c r="B51" s="308"/>
      <c r="C51" s="329"/>
      <c r="D51" s="308"/>
      <c r="E51" s="330"/>
      <c r="F51" s="306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6"/>
      <c r="S51" s="306"/>
      <c r="T51" s="306"/>
      <c r="U51" s="306"/>
      <c r="V51" s="306"/>
      <c r="W51" s="306"/>
      <c r="X51" s="306"/>
      <c r="Y51" s="306"/>
      <c r="Z51" s="306"/>
    </row>
    <row r="52" spans="1:26" ht="54" x14ac:dyDescent="0.35">
      <c r="A52" s="306"/>
      <c r="B52" s="320" t="s">
        <v>65</v>
      </c>
      <c r="C52" s="331" t="s">
        <v>88</v>
      </c>
      <c r="D52" s="331" t="s">
        <v>88</v>
      </c>
      <c r="E52" s="331" t="s">
        <v>304</v>
      </c>
      <c r="F52" s="331" t="s">
        <v>304</v>
      </c>
      <c r="G52" s="331" t="s">
        <v>304</v>
      </c>
      <c r="H52" s="331" t="s">
        <v>305</v>
      </c>
      <c r="I52" s="331" t="s">
        <v>305</v>
      </c>
      <c r="J52" s="331" t="s">
        <v>310</v>
      </c>
      <c r="K52" s="331" t="s">
        <v>310</v>
      </c>
      <c r="L52" s="331" t="s">
        <v>301</v>
      </c>
      <c r="M52" s="331" t="s">
        <v>311</v>
      </c>
      <c r="N52" s="331" t="s">
        <v>302</v>
      </c>
      <c r="O52" s="331" t="s">
        <v>302</v>
      </c>
      <c r="P52" s="331" t="s">
        <v>302</v>
      </c>
      <c r="Q52" s="331" t="s">
        <v>306</v>
      </c>
      <c r="R52" s="332" t="s">
        <v>306</v>
      </c>
      <c r="S52" s="333" t="s">
        <v>303</v>
      </c>
      <c r="T52" s="331" t="s">
        <v>307</v>
      </c>
      <c r="U52" s="306"/>
      <c r="V52" s="306"/>
      <c r="W52" s="306"/>
      <c r="X52" s="306"/>
      <c r="Y52" s="306"/>
      <c r="Z52" s="306"/>
    </row>
    <row r="53" spans="1:26" x14ac:dyDescent="0.35">
      <c r="A53" s="306"/>
      <c r="B53" s="320" t="s">
        <v>174</v>
      </c>
      <c r="C53" s="323">
        <v>36526</v>
      </c>
      <c r="D53" s="323">
        <v>36528</v>
      </c>
      <c r="E53" s="323">
        <v>36533</v>
      </c>
      <c r="F53" s="323">
        <v>36531</v>
      </c>
      <c r="G53" s="323">
        <v>36537</v>
      </c>
      <c r="H53" s="323">
        <v>36544</v>
      </c>
      <c r="I53" s="323">
        <v>36538</v>
      </c>
      <c r="J53" s="323">
        <v>36542</v>
      </c>
      <c r="K53" s="323">
        <v>36532</v>
      </c>
      <c r="L53" s="323">
        <v>36538</v>
      </c>
      <c r="M53" s="323">
        <v>36529</v>
      </c>
      <c r="N53" s="323">
        <v>36535</v>
      </c>
      <c r="O53" s="323">
        <v>36545</v>
      </c>
      <c r="P53" s="323">
        <v>36547</v>
      </c>
      <c r="Q53" s="323">
        <v>36531</v>
      </c>
      <c r="R53" s="326">
        <v>36540</v>
      </c>
      <c r="S53" s="328">
        <v>36535</v>
      </c>
      <c r="T53" s="323">
        <v>36536</v>
      </c>
      <c r="U53" s="306"/>
      <c r="V53" s="306"/>
      <c r="W53" s="306"/>
      <c r="X53" s="306"/>
      <c r="Y53" s="306"/>
      <c r="Z53" s="306"/>
    </row>
    <row r="54" spans="1:26" x14ac:dyDescent="0.35">
      <c r="A54" s="306"/>
      <c r="B54" s="320" t="s">
        <v>300</v>
      </c>
      <c r="C54" s="323" t="s">
        <v>81</v>
      </c>
      <c r="D54" s="323" t="s">
        <v>71</v>
      </c>
      <c r="E54" s="323" t="s">
        <v>73</v>
      </c>
      <c r="F54" s="323" t="s">
        <v>73</v>
      </c>
      <c r="G54" s="323" t="s">
        <v>78</v>
      </c>
      <c r="H54" s="322" t="s">
        <v>81</v>
      </c>
      <c r="I54" s="323" t="s">
        <v>71</v>
      </c>
      <c r="J54" s="323" t="s">
        <v>73</v>
      </c>
      <c r="K54" s="323" t="s">
        <v>78</v>
      </c>
      <c r="L54" s="323" t="s">
        <v>71</v>
      </c>
      <c r="M54" s="323" t="s">
        <v>78</v>
      </c>
      <c r="N54" s="323" t="s">
        <v>73</v>
      </c>
      <c r="O54" s="322" t="s">
        <v>81</v>
      </c>
      <c r="P54" s="322" t="s">
        <v>78</v>
      </c>
      <c r="Q54" s="323" t="s">
        <v>73</v>
      </c>
      <c r="R54" s="326" t="s">
        <v>71</v>
      </c>
      <c r="S54" s="328" t="s">
        <v>81</v>
      </c>
      <c r="T54" s="323" t="s">
        <v>78</v>
      </c>
      <c r="U54" s="306"/>
      <c r="V54" s="306"/>
      <c r="W54" s="306"/>
      <c r="X54" s="306"/>
      <c r="Y54" s="306"/>
      <c r="Z54" s="306"/>
    </row>
    <row r="55" spans="1:26" x14ac:dyDescent="0.35">
      <c r="A55" s="306"/>
      <c r="B55" s="320" t="s">
        <v>308</v>
      </c>
      <c r="C55" s="311">
        <v>14000</v>
      </c>
      <c r="D55" s="311">
        <v>16000</v>
      </c>
      <c r="E55" s="311">
        <v>2000</v>
      </c>
      <c r="F55" s="311">
        <v>4000</v>
      </c>
      <c r="G55" s="311">
        <v>50000</v>
      </c>
      <c r="H55" s="311">
        <v>18000</v>
      </c>
      <c r="I55" s="311">
        <v>30000</v>
      </c>
      <c r="J55" s="311">
        <v>6000</v>
      </c>
      <c r="K55" s="311">
        <v>38000</v>
      </c>
      <c r="L55" s="311">
        <v>20000</v>
      </c>
      <c r="M55" s="311">
        <v>42000</v>
      </c>
      <c r="N55" s="311">
        <v>8000</v>
      </c>
      <c r="O55" s="311">
        <v>20000</v>
      </c>
      <c r="P55" s="311">
        <v>40000</v>
      </c>
      <c r="Q55" s="311">
        <v>10000</v>
      </c>
      <c r="R55" s="311">
        <v>28000</v>
      </c>
      <c r="S55" s="311">
        <v>25000</v>
      </c>
      <c r="T55" s="311">
        <v>36000</v>
      </c>
      <c r="U55" s="306"/>
      <c r="V55" s="306"/>
      <c r="W55" s="306"/>
      <c r="X55" s="306"/>
      <c r="Y55" s="306"/>
      <c r="Z55" s="306"/>
    </row>
    <row r="56" spans="1:26" x14ac:dyDescent="0.35">
      <c r="A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</row>
    <row r="57" spans="1:26" x14ac:dyDescent="0.35">
      <c r="A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</row>
    <row r="58" spans="1:26" ht="36" x14ac:dyDescent="0.35">
      <c r="A58" s="306"/>
      <c r="B58" s="312" t="s">
        <v>309</v>
      </c>
      <c r="C58" s="312" t="s">
        <v>306</v>
      </c>
      <c r="D58" s="312" t="s">
        <v>301</v>
      </c>
      <c r="E58" s="312" t="s">
        <v>304</v>
      </c>
      <c r="F58" s="312" t="s">
        <v>311</v>
      </c>
      <c r="G58" s="312" t="s">
        <v>317</v>
      </c>
      <c r="H58" s="312" t="s">
        <v>303</v>
      </c>
      <c r="I58" s="312" t="s">
        <v>310</v>
      </c>
      <c r="J58" s="425" t="s">
        <v>318</v>
      </c>
      <c r="K58" s="425"/>
      <c r="L58" s="425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</row>
    <row r="59" spans="1:26" ht="36" x14ac:dyDescent="0.35">
      <c r="A59" s="306"/>
      <c r="B59" s="321" t="s">
        <v>313</v>
      </c>
      <c r="C59" s="314">
        <f>HLOOKUP(C58,$B$52:$T$55,4,FALSE)</f>
        <v>10000</v>
      </c>
      <c r="D59" s="314">
        <f t="shared" ref="D59:I59" si="6">HLOOKUP(D58,$B$52:$T$55,4,FALSE)</f>
        <v>20000</v>
      </c>
      <c r="E59" s="314">
        <f t="shared" si="6"/>
        <v>2000</v>
      </c>
      <c r="F59" s="314">
        <f t="shared" si="6"/>
        <v>42000</v>
      </c>
      <c r="G59" s="314">
        <f t="shared" si="6"/>
        <v>14000</v>
      </c>
      <c r="H59" s="314">
        <f t="shared" si="6"/>
        <v>25000</v>
      </c>
      <c r="I59" s="314">
        <f t="shared" si="6"/>
        <v>6000</v>
      </c>
      <c r="J59" s="425"/>
      <c r="K59" s="425"/>
      <c r="L59" s="425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  <c r="X59" s="306"/>
      <c r="Y59" s="306"/>
      <c r="Z59" s="306"/>
    </row>
    <row r="60" spans="1:26" ht="36" x14ac:dyDescent="0.35">
      <c r="A60" s="306"/>
      <c r="B60" s="321" t="s">
        <v>314</v>
      </c>
      <c r="C60" s="314">
        <f ca="1">LOOKUP(C58,$B$52:$T$55,$B$55:$T$55)</f>
        <v>28000</v>
      </c>
      <c r="D60" s="314">
        <f t="shared" ref="D60:I60" ca="1" si="7">LOOKUP(D58,$B$52:$T$55,$B$55:$T$55)</f>
        <v>20000</v>
      </c>
      <c r="E60" s="314">
        <f t="shared" ca="1" si="7"/>
        <v>50000</v>
      </c>
      <c r="F60" s="314">
        <f t="shared" ca="1" si="7"/>
        <v>42000</v>
      </c>
      <c r="G60" s="314">
        <f t="shared" ca="1" si="7"/>
        <v>16000</v>
      </c>
      <c r="H60" s="314">
        <f t="shared" ca="1" si="7"/>
        <v>25000</v>
      </c>
      <c r="I60" s="314">
        <f t="shared" ca="1" si="7"/>
        <v>38000</v>
      </c>
      <c r="J60" s="425"/>
      <c r="K60" s="425"/>
      <c r="L60" s="425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</row>
    <row r="61" spans="1:26" ht="93" customHeight="1" x14ac:dyDescent="0.35">
      <c r="A61" s="306"/>
      <c r="B61" s="321" t="s">
        <v>315</v>
      </c>
      <c r="C61" s="324" t="str">
        <f ca="1">LOOKUP(C58,$B$52:$T$55,$B$54:$T$54)</f>
        <v>South</v>
      </c>
      <c r="D61" s="324" t="str">
        <f t="shared" ref="D61:I61" ca="1" si="8">LOOKUP(D58,$B$52:$T$55,$B$54:$T$54)</f>
        <v>South</v>
      </c>
      <c r="E61" s="324" t="str">
        <f t="shared" ca="1" si="8"/>
        <v>West</v>
      </c>
      <c r="F61" s="324" t="str">
        <f t="shared" ca="1" si="8"/>
        <v>West</v>
      </c>
      <c r="G61" s="324" t="str">
        <f t="shared" ca="1" si="8"/>
        <v>South</v>
      </c>
      <c r="H61" s="324" t="str">
        <f t="shared" ca="1" si="8"/>
        <v>North</v>
      </c>
      <c r="I61" s="324" t="str">
        <f t="shared" ca="1" si="8"/>
        <v>West</v>
      </c>
      <c r="J61" s="425"/>
      <c r="K61" s="425"/>
      <c r="L61" s="425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</row>
    <row r="62" spans="1:26" ht="36" x14ac:dyDescent="0.35">
      <c r="A62" s="306"/>
      <c r="B62" s="321" t="s">
        <v>316</v>
      </c>
      <c r="C62" s="324">
        <f>LOOKUP(C58,$B$52:$T$52,$B$53:$T$53)</f>
        <v>36540</v>
      </c>
      <c r="D62" s="324">
        <f t="shared" ref="D62:I62" si="9">LOOKUP(D58,$B$52:$T$52,$B$53:$T$53)</f>
        <v>36538</v>
      </c>
      <c r="E62" s="324">
        <f t="shared" si="9"/>
        <v>36537</v>
      </c>
      <c r="F62" s="324">
        <f t="shared" si="9"/>
        <v>36529</v>
      </c>
      <c r="G62" s="324">
        <f t="shared" si="9"/>
        <v>36528</v>
      </c>
      <c r="H62" s="324">
        <f t="shared" si="9"/>
        <v>36535</v>
      </c>
      <c r="I62" s="324">
        <f t="shared" si="9"/>
        <v>36532</v>
      </c>
      <c r="J62" s="425"/>
      <c r="K62" s="425"/>
      <c r="L62" s="425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  <c r="X62" s="306"/>
      <c r="Y62" s="306"/>
      <c r="Z62" s="306"/>
    </row>
    <row r="63" spans="1:26" x14ac:dyDescent="0.35">
      <c r="A63" s="306"/>
      <c r="B63" s="306"/>
      <c r="C63" s="306"/>
      <c r="D63" s="306"/>
      <c r="E63" s="306"/>
      <c r="F63" s="306"/>
      <c r="G63" s="306"/>
      <c r="H63" s="306"/>
      <c r="I63" s="306"/>
      <c r="J63" s="425"/>
      <c r="K63" s="425"/>
      <c r="L63" s="425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</row>
    <row r="64" spans="1:26" x14ac:dyDescent="0.35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  <c r="Z64" s="306"/>
    </row>
    <row r="65" spans="1:26" x14ac:dyDescent="0.35">
      <c r="A65" s="306"/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</row>
    <row r="66" spans="1:26" x14ac:dyDescent="0.35">
      <c r="A66" s="306"/>
      <c r="B66" s="306"/>
      <c r="C66" s="306"/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</row>
    <row r="67" spans="1:26" x14ac:dyDescent="0.35">
      <c r="A67" s="306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</row>
    <row r="68" spans="1:26" x14ac:dyDescent="0.35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</row>
    <row r="69" spans="1:26" x14ac:dyDescent="0.35">
      <c r="A69" s="306"/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</row>
    <row r="70" spans="1:26" x14ac:dyDescent="0.35">
      <c r="A70" s="306"/>
      <c r="B70" s="306"/>
      <c r="C70" s="306"/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</row>
    <row r="71" spans="1:26" x14ac:dyDescent="0.35">
      <c r="A71" s="306"/>
      <c r="B71" s="306"/>
      <c r="C71" s="306"/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</row>
    <row r="72" spans="1:26" x14ac:dyDescent="0.35">
      <c r="A72" s="306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</row>
    <row r="73" spans="1:26" x14ac:dyDescent="0.35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</row>
    <row r="74" spans="1:26" x14ac:dyDescent="0.35">
      <c r="A74" s="306"/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</row>
    <row r="75" spans="1:26" x14ac:dyDescent="0.35">
      <c r="A75" s="306"/>
      <c r="B75" s="306"/>
      <c r="C75" s="306"/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  <c r="X75" s="306"/>
      <c r="Y75" s="306"/>
      <c r="Z75" s="306"/>
    </row>
    <row r="76" spans="1:26" x14ac:dyDescent="0.35">
      <c r="A76" s="306"/>
      <c r="B76" s="306"/>
      <c r="C76" s="306"/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</row>
    <row r="77" spans="1:26" x14ac:dyDescent="0.35">
      <c r="A77" s="306"/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</row>
    <row r="78" spans="1:26" x14ac:dyDescent="0.35">
      <c r="A78" s="306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</row>
    <row r="79" spans="1:26" x14ac:dyDescent="0.35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</row>
    <row r="80" spans="1:26" x14ac:dyDescent="0.35">
      <c r="A80" s="306"/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</row>
    <row r="81" spans="1:26" x14ac:dyDescent="0.35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</row>
    <row r="82" spans="1:26" x14ac:dyDescent="0.35">
      <c r="A82" s="306"/>
      <c r="B82" s="306"/>
      <c r="C82" s="306"/>
      <c r="D82" s="306"/>
      <c r="E82" s="306"/>
      <c r="F82" s="306"/>
      <c r="G82" s="306"/>
      <c r="H82" s="306"/>
      <c r="I82" s="306"/>
      <c r="J82" s="306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</row>
    <row r="83" spans="1:26" x14ac:dyDescent="0.35">
      <c r="A83" s="306"/>
      <c r="B83" s="306"/>
      <c r="C83" s="306"/>
      <c r="D83" s="306"/>
      <c r="E83" s="306"/>
      <c r="F83" s="306"/>
      <c r="G83" s="306"/>
      <c r="H83" s="306"/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</row>
    <row r="84" spans="1:26" x14ac:dyDescent="0.35">
      <c r="A84" s="306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</row>
    <row r="85" spans="1:26" x14ac:dyDescent="0.35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</row>
    <row r="86" spans="1:26" x14ac:dyDescent="0.35">
      <c r="A86" s="306"/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</row>
    <row r="87" spans="1:26" x14ac:dyDescent="0.35">
      <c r="A87" s="306"/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</row>
    <row r="88" spans="1:26" x14ac:dyDescent="0.35">
      <c r="A88" s="306"/>
      <c r="B88" s="306"/>
      <c r="C88" s="306"/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  <c r="X88" s="306"/>
      <c r="Y88" s="306"/>
      <c r="Z88" s="306"/>
    </row>
    <row r="89" spans="1:26" x14ac:dyDescent="0.35">
      <c r="A89" s="306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  <c r="X89" s="306"/>
      <c r="Y89" s="306"/>
      <c r="Z89" s="306"/>
    </row>
    <row r="90" spans="1:26" x14ac:dyDescent="0.35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</row>
    <row r="91" spans="1:26" x14ac:dyDescent="0.35">
      <c r="A91" s="306"/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</row>
    <row r="92" spans="1:26" x14ac:dyDescent="0.35">
      <c r="A92" s="306"/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</row>
    <row r="93" spans="1:26" x14ac:dyDescent="0.35">
      <c r="A93" s="306"/>
      <c r="B93" s="306"/>
      <c r="C93" s="306"/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</row>
    <row r="94" spans="1:26" x14ac:dyDescent="0.35">
      <c r="A94" s="306"/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</row>
    <row r="95" spans="1:26" x14ac:dyDescent="0.35">
      <c r="A95" s="306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</row>
    <row r="96" spans="1:26" x14ac:dyDescent="0.35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</row>
    <row r="97" spans="1:26" x14ac:dyDescent="0.35">
      <c r="A97" s="306"/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</row>
    <row r="98" spans="1:26" x14ac:dyDescent="0.35">
      <c r="A98" s="306"/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</row>
    <row r="99" spans="1:26" x14ac:dyDescent="0.35">
      <c r="A99" s="306"/>
      <c r="B99" s="306"/>
      <c r="C99" s="306"/>
      <c r="D99" s="306"/>
      <c r="E99" s="306"/>
      <c r="F99" s="306"/>
      <c r="G99" s="306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</row>
    <row r="100" spans="1:26" x14ac:dyDescent="0.35">
      <c r="A100" s="306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</row>
    <row r="101" spans="1:26" x14ac:dyDescent="0.35">
      <c r="A101" s="306"/>
      <c r="B101" s="306"/>
      <c r="C101" s="306"/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</row>
    <row r="102" spans="1:26" x14ac:dyDescent="0.35">
      <c r="A102" s="306"/>
      <c r="B102" s="306"/>
      <c r="C102" s="306"/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</row>
    <row r="103" spans="1:26" x14ac:dyDescent="0.35">
      <c r="A103" s="306"/>
      <c r="B103" s="306"/>
      <c r="C103" s="306"/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</row>
    <row r="104" spans="1:26" x14ac:dyDescent="0.35">
      <c r="A104" s="306"/>
      <c r="B104" s="306"/>
      <c r="C104" s="306"/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</row>
    <row r="105" spans="1:26" x14ac:dyDescent="0.35">
      <c r="A105" s="306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</row>
    <row r="106" spans="1:26" x14ac:dyDescent="0.35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</row>
    <row r="107" spans="1:26" x14ac:dyDescent="0.35">
      <c r="A107" s="306"/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</row>
    <row r="108" spans="1:26" x14ac:dyDescent="0.35">
      <c r="A108" s="306"/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</row>
    <row r="109" spans="1:26" x14ac:dyDescent="0.35">
      <c r="A109" s="306"/>
      <c r="B109" s="306"/>
      <c r="C109" s="306"/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</row>
    <row r="110" spans="1:26" x14ac:dyDescent="0.35">
      <c r="A110" s="306"/>
      <c r="B110" s="306"/>
      <c r="C110" s="306"/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</row>
    <row r="111" spans="1:26" x14ac:dyDescent="0.35">
      <c r="A111" s="306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</row>
    <row r="112" spans="1:26" x14ac:dyDescent="0.35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</row>
    <row r="113" spans="1:26" x14ac:dyDescent="0.35">
      <c r="A113" s="306"/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</row>
    <row r="114" spans="1:26" x14ac:dyDescent="0.35">
      <c r="A114" s="306"/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</row>
    <row r="115" spans="1:26" x14ac:dyDescent="0.35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</row>
    <row r="116" spans="1:26" x14ac:dyDescent="0.35">
      <c r="A116" s="306"/>
      <c r="B116" s="306"/>
      <c r="C116" s="306"/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</row>
    <row r="117" spans="1:26" x14ac:dyDescent="0.35">
      <c r="A117" s="306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</row>
    <row r="118" spans="1:26" x14ac:dyDescent="0.35">
      <c r="A118" s="306"/>
      <c r="B118" s="306"/>
      <c r="C118" s="306"/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</row>
    <row r="119" spans="1:26" x14ac:dyDescent="0.35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</row>
    <row r="120" spans="1:26" x14ac:dyDescent="0.35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</row>
    <row r="121" spans="1:26" x14ac:dyDescent="0.35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</row>
    <row r="122" spans="1:26" x14ac:dyDescent="0.35">
      <c r="A122" s="306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</row>
    <row r="123" spans="1:26" x14ac:dyDescent="0.35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</row>
    <row r="124" spans="1:26" x14ac:dyDescent="0.35">
      <c r="A124" s="306"/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</row>
    <row r="125" spans="1:26" x14ac:dyDescent="0.35">
      <c r="A125" s="306"/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</row>
    <row r="126" spans="1:26" x14ac:dyDescent="0.35">
      <c r="A126" s="306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  <c r="X126" s="306"/>
      <c r="Y126" s="306"/>
      <c r="Z126" s="306"/>
    </row>
    <row r="127" spans="1:26" x14ac:dyDescent="0.35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  <c r="X127" s="306"/>
      <c r="Y127" s="306"/>
      <c r="Z127" s="306"/>
    </row>
    <row r="128" spans="1:26" x14ac:dyDescent="0.35">
      <c r="A128" s="306"/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</row>
    <row r="129" spans="1:26" x14ac:dyDescent="0.35">
      <c r="A129" s="306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</row>
    <row r="130" spans="1:26" x14ac:dyDescent="0.35">
      <c r="A130" s="306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6"/>
      <c r="W130" s="306"/>
      <c r="X130" s="306"/>
      <c r="Y130" s="306"/>
      <c r="Z130" s="306"/>
    </row>
    <row r="131" spans="1:26" x14ac:dyDescent="0.35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</row>
    <row r="132" spans="1:26" x14ac:dyDescent="0.35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</row>
    <row r="133" spans="1:26" x14ac:dyDescent="0.35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</row>
    <row r="134" spans="1:26" x14ac:dyDescent="0.35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</row>
    <row r="135" spans="1:26" x14ac:dyDescent="0.35">
      <c r="A135" s="306"/>
      <c r="B135" s="306"/>
      <c r="C135" s="306"/>
      <c r="D135" s="306"/>
      <c r="E135" s="306"/>
      <c r="F135" s="306"/>
      <c r="G135" s="306"/>
      <c r="H135" s="306"/>
      <c r="I135" s="306"/>
      <c r="J135" s="306"/>
      <c r="K135" s="306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  <c r="X135" s="306"/>
      <c r="Y135" s="306"/>
      <c r="Z135" s="306"/>
    </row>
    <row r="136" spans="1:26" x14ac:dyDescent="0.35">
      <c r="A136" s="306"/>
      <c r="B136" s="306"/>
      <c r="C136" s="306"/>
      <c r="D136" s="306"/>
      <c r="E136" s="306"/>
      <c r="F136" s="306"/>
      <c r="G136" s="306"/>
      <c r="H136" s="306"/>
      <c r="I136" s="306"/>
      <c r="J136" s="306"/>
      <c r="K136" s="306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</row>
    <row r="137" spans="1:26" x14ac:dyDescent="0.35">
      <c r="A137" s="306"/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  <c r="X137" s="306"/>
      <c r="Y137" s="306"/>
      <c r="Z137" s="306"/>
    </row>
    <row r="138" spans="1:26" x14ac:dyDescent="0.35">
      <c r="A138" s="306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  <c r="X138" s="306"/>
      <c r="Y138" s="306"/>
      <c r="Z138" s="306"/>
    </row>
    <row r="139" spans="1:26" x14ac:dyDescent="0.35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  <c r="X139" s="306"/>
      <c r="Y139" s="306"/>
      <c r="Z139" s="306"/>
    </row>
    <row r="140" spans="1:26" x14ac:dyDescent="0.35">
      <c r="A140" s="306"/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</row>
    <row r="141" spans="1:26" x14ac:dyDescent="0.35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</row>
    <row r="142" spans="1:26" x14ac:dyDescent="0.35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</row>
    <row r="143" spans="1:26" x14ac:dyDescent="0.35">
      <c r="A143" s="306"/>
      <c r="B143" s="306"/>
      <c r="C143" s="306"/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6"/>
      <c r="W143" s="306"/>
      <c r="X143" s="306"/>
      <c r="Y143" s="306"/>
      <c r="Z143" s="306"/>
    </row>
    <row r="144" spans="1:26" x14ac:dyDescent="0.35">
      <c r="A144" s="306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</row>
    <row r="145" spans="1:26" x14ac:dyDescent="0.35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  <c r="X145" s="306"/>
      <c r="Y145" s="306"/>
      <c r="Z145" s="306"/>
    </row>
    <row r="146" spans="1:26" x14ac:dyDescent="0.35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</row>
    <row r="147" spans="1:26" x14ac:dyDescent="0.35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</row>
    <row r="148" spans="1:26" x14ac:dyDescent="0.35">
      <c r="A148" s="306"/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</row>
    <row r="149" spans="1:26" x14ac:dyDescent="0.35">
      <c r="A149" s="306"/>
      <c r="B149" s="306"/>
      <c r="C149" s="306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</row>
    <row r="150" spans="1:26" x14ac:dyDescent="0.35">
      <c r="A150" s="306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</row>
    <row r="151" spans="1:26" x14ac:dyDescent="0.35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  <c r="X151" s="306"/>
      <c r="Y151" s="306"/>
      <c r="Z151" s="306"/>
    </row>
    <row r="152" spans="1:26" x14ac:dyDescent="0.35">
      <c r="A152" s="306"/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</row>
    <row r="153" spans="1:26" x14ac:dyDescent="0.35">
      <c r="A153" s="306"/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</row>
    <row r="154" spans="1:26" x14ac:dyDescent="0.35">
      <c r="A154" s="306"/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</row>
    <row r="155" spans="1:26" x14ac:dyDescent="0.35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</row>
    <row r="156" spans="1:26" x14ac:dyDescent="0.35">
      <c r="A156" s="306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</row>
    <row r="157" spans="1:26" x14ac:dyDescent="0.35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  <c r="X157" s="306"/>
      <c r="Y157" s="306"/>
      <c r="Z157" s="306"/>
    </row>
    <row r="158" spans="1:26" x14ac:dyDescent="0.35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</row>
    <row r="159" spans="1:26" x14ac:dyDescent="0.35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</row>
    <row r="160" spans="1:26" x14ac:dyDescent="0.35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</row>
    <row r="161" spans="1:26" x14ac:dyDescent="0.35">
      <c r="A161" s="306"/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</row>
    <row r="162" spans="1:26" x14ac:dyDescent="0.35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  <c r="X162" s="306"/>
      <c r="Y162" s="306"/>
      <c r="Z162" s="306"/>
    </row>
    <row r="163" spans="1:26" x14ac:dyDescent="0.35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</row>
    <row r="164" spans="1:26" x14ac:dyDescent="0.35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</row>
    <row r="165" spans="1:26" x14ac:dyDescent="0.35">
      <c r="A165" s="306"/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</row>
    <row r="166" spans="1:26" x14ac:dyDescent="0.35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</row>
    <row r="167" spans="1:26" x14ac:dyDescent="0.35">
      <c r="A167" s="306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  <c r="X167" s="306"/>
      <c r="Y167" s="306"/>
      <c r="Z167" s="306"/>
    </row>
    <row r="168" spans="1:26" x14ac:dyDescent="0.35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</row>
    <row r="169" spans="1:26" x14ac:dyDescent="0.35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</row>
    <row r="170" spans="1:26" x14ac:dyDescent="0.35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</row>
    <row r="171" spans="1:26" x14ac:dyDescent="0.35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</row>
    <row r="172" spans="1:26" x14ac:dyDescent="0.35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</row>
    <row r="173" spans="1:26" x14ac:dyDescent="0.35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</row>
    <row r="174" spans="1:26" x14ac:dyDescent="0.35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</row>
    <row r="175" spans="1:26" x14ac:dyDescent="0.35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</row>
    <row r="176" spans="1:26" x14ac:dyDescent="0.35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</row>
    <row r="177" spans="1:26" x14ac:dyDescent="0.35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</row>
    <row r="178" spans="1:26" x14ac:dyDescent="0.35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</row>
    <row r="179" spans="1:26" x14ac:dyDescent="0.35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</row>
    <row r="180" spans="1:26" x14ac:dyDescent="0.35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</row>
    <row r="181" spans="1:26" x14ac:dyDescent="0.35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</row>
    <row r="182" spans="1:26" x14ac:dyDescent="0.35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</row>
    <row r="183" spans="1:26" x14ac:dyDescent="0.35">
      <c r="A183" s="306"/>
      <c r="B183" s="306"/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</row>
    <row r="184" spans="1:26" x14ac:dyDescent="0.35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  <c r="X184" s="306"/>
      <c r="Y184" s="306"/>
      <c r="Z184" s="306"/>
    </row>
    <row r="185" spans="1:26" x14ac:dyDescent="0.35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6"/>
      <c r="Q185" s="306"/>
      <c r="R185" s="306"/>
      <c r="S185" s="306"/>
      <c r="T185" s="306"/>
      <c r="U185" s="306"/>
      <c r="V185" s="306"/>
      <c r="W185" s="306"/>
      <c r="X185" s="306"/>
      <c r="Y185" s="306"/>
      <c r="Z185" s="306"/>
    </row>
    <row r="186" spans="1:26" x14ac:dyDescent="0.35">
      <c r="A186" s="306"/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</row>
    <row r="187" spans="1:26" x14ac:dyDescent="0.35">
      <c r="A187" s="306"/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</row>
    <row r="188" spans="1:26" x14ac:dyDescent="0.35">
      <c r="A188" s="306"/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</row>
    <row r="189" spans="1:26" x14ac:dyDescent="0.35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  <c r="X189" s="306"/>
      <c r="Y189" s="306"/>
      <c r="Z189" s="306"/>
    </row>
    <row r="190" spans="1:26" x14ac:dyDescent="0.35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  <c r="X190" s="306"/>
      <c r="Y190" s="306"/>
      <c r="Z190" s="306"/>
    </row>
    <row r="191" spans="1:26" x14ac:dyDescent="0.35">
      <c r="A191" s="306"/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</row>
    <row r="192" spans="1:26" x14ac:dyDescent="0.35">
      <c r="A192" s="306"/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</row>
    <row r="193" spans="1:26" x14ac:dyDescent="0.35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</row>
    <row r="194" spans="1:26" x14ac:dyDescent="0.35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</row>
    <row r="195" spans="1:26" x14ac:dyDescent="0.35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</row>
    <row r="196" spans="1:26" x14ac:dyDescent="0.35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</row>
    <row r="197" spans="1:26" x14ac:dyDescent="0.35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</row>
    <row r="198" spans="1:26" x14ac:dyDescent="0.35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</row>
    <row r="199" spans="1:26" x14ac:dyDescent="0.35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</row>
    <row r="200" spans="1:26" x14ac:dyDescent="0.35">
      <c r="A200" s="306"/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</row>
    <row r="201" spans="1:26" x14ac:dyDescent="0.35">
      <c r="A201" s="306"/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</row>
    <row r="202" spans="1:26" x14ac:dyDescent="0.35">
      <c r="A202" s="306"/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</row>
    <row r="203" spans="1:26" x14ac:dyDescent="0.35">
      <c r="A203" s="306"/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/>
      <c r="Y203" s="306"/>
      <c r="Z203" s="306"/>
    </row>
    <row r="204" spans="1:26" x14ac:dyDescent="0.35">
      <c r="A204" s="306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  <c r="X204" s="306"/>
      <c r="Y204" s="306"/>
      <c r="Z204" s="306"/>
    </row>
    <row r="205" spans="1:26" x14ac:dyDescent="0.35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  <c r="X205" s="306"/>
      <c r="Y205" s="306"/>
      <c r="Z205" s="306"/>
    </row>
    <row r="206" spans="1:26" x14ac:dyDescent="0.35">
      <c r="A206" s="306"/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</row>
    <row r="207" spans="1:26" x14ac:dyDescent="0.35">
      <c r="A207" s="306"/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  <c r="X207" s="306"/>
      <c r="Y207" s="306"/>
      <c r="Z207" s="306"/>
    </row>
    <row r="208" spans="1:26" x14ac:dyDescent="0.35">
      <c r="A208" s="306"/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  <c r="X208" s="306"/>
      <c r="Y208" s="306"/>
      <c r="Z208" s="306"/>
    </row>
    <row r="209" spans="1:26" x14ac:dyDescent="0.35">
      <c r="A209" s="306"/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O209" s="306"/>
      <c r="P209" s="306"/>
      <c r="Q209" s="306"/>
      <c r="R209" s="306"/>
      <c r="S209" s="306"/>
      <c r="T209" s="306"/>
      <c r="U209" s="306"/>
      <c r="V209" s="306"/>
      <c r="W209" s="306"/>
      <c r="X209" s="306"/>
      <c r="Y209" s="306"/>
      <c r="Z209" s="306"/>
    </row>
    <row r="210" spans="1:26" x14ac:dyDescent="0.35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  <c r="X210" s="306"/>
      <c r="Y210" s="306"/>
      <c r="Z210" s="306"/>
    </row>
    <row r="211" spans="1:26" x14ac:dyDescent="0.35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6"/>
      <c r="Q211" s="306"/>
      <c r="R211" s="306"/>
      <c r="S211" s="306"/>
      <c r="T211" s="306"/>
      <c r="U211" s="306"/>
      <c r="V211" s="306"/>
      <c r="W211" s="306"/>
      <c r="X211" s="306"/>
      <c r="Y211" s="306"/>
      <c r="Z211" s="306"/>
    </row>
    <row r="212" spans="1:26" x14ac:dyDescent="0.35">
      <c r="A212" s="306"/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</row>
    <row r="213" spans="1:26" x14ac:dyDescent="0.35">
      <c r="A213" s="306"/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</row>
    <row r="214" spans="1:26" x14ac:dyDescent="0.35">
      <c r="A214" s="306"/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</row>
    <row r="215" spans="1:26" x14ac:dyDescent="0.35">
      <c r="A215" s="306"/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O215" s="306"/>
      <c r="P215" s="306"/>
      <c r="Q215" s="306"/>
      <c r="R215" s="306"/>
      <c r="S215" s="306"/>
      <c r="T215" s="306"/>
      <c r="U215" s="306"/>
      <c r="V215" s="306"/>
      <c r="W215" s="306"/>
      <c r="X215" s="306"/>
      <c r="Y215" s="306"/>
      <c r="Z215" s="306"/>
    </row>
    <row r="216" spans="1:26" x14ac:dyDescent="0.35">
      <c r="A216" s="306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6"/>
      <c r="P216" s="306"/>
      <c r="Q216" s="306"/>
      <c r="R216" s="306"/>
      <c r="S216" s="306"/>
      <c r="T216" s="306"/>
      <c r="U216" s="306"/>
      <c r="V216" s="306"/>
      <c r="W216" s="306"/>
      <c r="X216" s="306"/>
      <c r="Y216" s="306"/>
      <c r="Z216" s="306"/>
    </row>
    <row r="217" spans="1:26" x14ac:dyDescent="0.35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  <c r="X217" s="306"/>
      <c r="Y217" s="306"/>
      <c r="Z217" s="306"/>
    </row>
    <row r="218" spans="1:26" x14ac:dyDescent="0.35">
      <c r="A218" s="306"/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</row>
    <row r="219" spans="1:26" x14ac:dyDescent="0.35">
      <c r="A219" s="306"/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</row>
    <row r="220" spans="1:26" x14ac:dyDescent="0.35">
      <c r="A220" s="306"/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  <c r="X220" s="306"/>
      <c r="Y220" s="306"/>
      <c r="Z220" s="306"/>
    </row>
    <row r="221" spans="1:26" x14ac:dyDescent="0.35">
      <c r="A221" s="306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  <c r="X221" s="306"/>
      <c r="Y221" s="306"/>
      <c r="Z221" s="306"/>
    </row>
    <row r="222" spans="1:26" x14ac:dyDescent="0.35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6"/>
      <c r="P222" s="306"/>
      <c r="Q222" s="306"/>
      <c r="R222" s="306"/>
      <c r="S222" s="306"/>
      <c r="T222" s="306"/>
      <c r="U222" s="306"/>
      <c r="V222" s="306"/>
      <c r="W222" s="306"/>
      <c r="X222" s="306"/>
      <c r="Y222" s="306"/>
      <c r="Z222" s="306"/>
    </row>
    <row r="223" spans="1:26" x14ac:dyDescent="0.35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</row>
    <row r="224" spans="1:26" x14ac:dyDescent="0.35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</row>
    <row r="225" spans="1:26" x14ac:dyDescent="0.35">
      <c r="A225" s="306"/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  <c r="X225" s="306"/>
      <c r="Y225" s="306"/>
      <c r="Z225" s="306"/>
    </row>
    <row r="226" spans="1:26" x14ac:dyDescent="0.35">
      <c r="A226" s="306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  <c r="X226" s="306"/>
      <c r="Y226" s="306"/>
      <c r="Z226" s="306"/>
    </row>
    <row r="227" spans="1:26" x14ac:dyDescent="0.35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/>
      <c r="V227" s="306"/>
      <c r="W227" s="306"/>
      <c r="X227" s="306"/>
      <c r="Y227" s="306"/>
      <c r="Z227" s="306"/>
    </row>
    <row r="228" spans="1:26" x14ac:dyDescent="0.35">
      <c r="A228" s="306"/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</row>
    <row r="229" spans="1:26" x14ac:dyDescent="0.35">
      <c r="A229" s="306"/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</row>
    <row r="230" spans="1:26" x14ac:dyDescent="0.35">
      <c r="A230" s="306"/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</row>
    <row r="231" spans="1:26" x14ac:dyDescent="0.35">
      <c r="A231" s="306"/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  <c r="X231" s="306"/>
      <c r="Y231" s="306"/>
      <c r="Z231" s="306"/>
    </row>
    <row r="232" spans="1:26" x14ac:dyDescent="0.35">
      <c r="A232" s="306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6"/>
      <c r="P232" s="306"/>
      <c r="Q232" s="306"/>
      <c r="R232" s="306"/>
      <c r="S232" s="306"/>
      <c r="T232" s="306"/>
      <c r="U232" s="306"/>
      <c r="V232" s="306"/>
      <c r="W232" s="306"/>
      <c r="X232" s="306"/>
      <c r="Y232" s="306"/>
      <c r="Z232" s="306"/>
    </row>
    <row r="233" spans="1:26" x14ac:dyDescent="0.35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  <c r="X233" s="306"/>
      <c r="Y233" s="306"/>
      <c r="Z233" s="306"/>
    </row>
    <row r="234" spans="1:26" x14ac:dyDescent="0.35">
      <c r="A234" s="306"/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</row>
    <row r="235" spans="1:26" x14ac:dyDescent="0.35">
      <c r="A235" s="306"/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</row>
    <row r="236" spans="1:26" x14ac:dyDescent="0.35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</row>
    <row r="237" spans="1:26" x14ac:dyDescent="0.35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  <c r="X237" s="306"/>
      <c r="Y237" s="306"/>
      <c r="Z237" s="306"/>
    </row>
    <row r="238" spans="1:26" x14ac:dyDescent="0.35">
      <c r="A238" s="306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6"/>
      <c r="P238" s="306"/>
      <c r="Q238" s="306"/>
      <c r="R238" s="306"/>
      <c r="S238" s="306"/>
      <c r="T238" s="306"/>
      <c r="U238" s="306"/>
      <c r="V238" s="306"/>
      <c r="W238" s="306"/>
      <c r="X238" s="306"/>
      <c r="Y238" s="306"/>
      <c r="Z238" s="306"/>
    </row>
    <row r="239" spans="1:26" x14ac:dyDescent="0.35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  <c r="X239" s="306"/>
      <c r="Y239" s="306"/>
      <c r="Z239" s="306"/>
    </row>
    <row r="240" spans="1:26" x14ac:dyDescent="0.35">
      <c r="A240" s="306"/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</row>
    <row r="241" spans="1:26" x14ac:dyDescent="0.35">
      <c r="A241" s="306"/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  <c r="X241" s="306"/>
      <c r="Y241" s="306"/>
      <c r="Z241" s="306"/>
    </row>
    <row r="242" spans="1:26" x14ac:dyDescent="0.35">
      <c r="A242" s="306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  <c r="X242" s="306"/>
      <c r="Y242" s="306"/>
      <c r="Z242" s="306"/>
    </row>
    <row r="243" spans="1:26" x14ac:dyDescent="0.35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  <c r="X243" s="306"/>
      <c r="Y243" s="306"/>
      <c r="Z243" s="306"/>
    </row>
    <row r="244" spans="1:26" x14ac:dyDescent="0.35">
      <c r="A244" s="306"/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</row>
    <row r="245" spans="1:26" x14ac:dyDescent="0.35">
      <c r="A245" s="306"/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</row>
    <row r="246" spans="1:26" x14ac:dyDescent="0.35">
      <c r="A246" s="306"/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</row>
    <row r="247" spans="1:26" x14ac:dyDescent="0.35">
      <c r="A247" s="306"/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  <c r="X247" s="306"/>
      <c r="Y247" s="306"/>
      <c r="Z247" s="306"/>
    </row>
    <row r="248" spans="1:26" x14ac:dyDescent="0.35">
      <c r="A248" s="306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6"/>
      <c r="P248" s="306"/>
      <c r="Q248" s="306"/>
      <c r="R248" s="306"/>
      <c r="S248" s="306"/>
      <c r="T248" s="306"/>
      <c r="U248" s="306"/>
      <c r="V248" s="306"/>
      <c r="W248" s="306"/>
      <c r="X248" s="306"/>
      <c r="Y248" s="306"/>
      <c r="Z248" s="306"/>
    </row>
    <row r="249" spans="1:26" x14ac:dyDescent="0.35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  <c r="X249" s="306"/>
      <c r="Y249" s="306"/>
      <c r="Z249" s="306"/>
    </row>
    <row r="250" spans="1:26" x14ac:dyDescent="0.35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</row>
    <row r="251" spans="1:26" x14ac:dyDescent="0.35">
      <c r="A251" s="306"/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</row>
    <row r="252" spans="1:26" x14ac:dyDescent="0.35">
      <c r="A252" s="306"/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</row>
    <row r="253" spans="1:26" x14ac:dyDescent="0.35">
      <c r="A253" s="306"/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  <c r="O253" s="306"/>
      <c r="P253" s="306"/>
      <c r="Q253" s="306"/>
      <c r="R253" s="306"/>
      <c r="S253" s="306"/>
      <c r="T253" s="306"/>
      <c r="U253" s="306"/>
      <c r="V253" s="306"/>
      <c r="W253" s="306"/>
      <c r="X253" s="306"/>
      <c r="Y253" s="306"/>
      <c r="Z253" s="306"/>
    </row>
    <row r="254" spans="1:26" x14ac:dyDescent="0.35">
      <c r="A254" s="306"/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N254" s="306"/>
      <c r="O254" s="306"/>
      <c r="P254" s="306"/>
      <c r="Q254" s="306"/>
      <c r="R254" s="306"/>
      <c r="S254" s="306"/>
      <c r="T254" s="306"/>
      <c r="U254" s="306"/>
      <c r="V254" s="306"/>
      <c r="W254" s="306"/>
      <c r="X254" s="306"/>
      <c r="Y254" s="306"/>
      <c r="Z254" s="306"/>
    </row>
    <row r="255" spans="1:26" x14ac:dyDescent="0.35">
      <c r="A255" s="306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6"/>
      <c r="P255" s="306"/>
      <c r="Q255" s="306"/>
      <c r="R255" s="306"/>
      <c r="S255" s="306"/>
      <c r="T255" s="306"/>
      <c r="U255" s="306"/>
      <c r="V255" s="306"/>
      <c r="W255" s="306"/>
      <c r="X255" s="306"/>
      <c r="Y255" s="306"/>
      <c r="Z255" s="306"/>
    </row>
    <row r="256" spans="1:26" x14ac:dyDescent="0.35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6"/>
      <c r="P256" s="306"/>
      <c r="Q256" s="306"/>
      <c r="R256" s="306"/>
      <c r="S256" s="306"/>
      <c r="T256" s="306"/>
      <c r="U256" s="306"/>
      <c r="V256" s="306"/>
      <c r="W256" s="306"/>
      <c r="X256" s="306"/>
      <c r="Y256" s="306"/>
      <c r="Z256" s="306"/>
    </row>
    <row r="257" spans="1:26" x14ac:dyDescent="0.35">
      <c r="A257" s="306"/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</row>
    <row r="258" spans="1:26" x14ac:dyDescent="0.35">
      <c r="A258" s="306"/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  <c r="O258" s="306"/>
      <c r="P258" s="306"/>
      <c r="Q258" s="306"/>
      <c r="R258" s="306"/>
      <c r="S258" s="306"/>
      <c r="T258" s="306"/>
      <c r="U258" s="306"/>
      <c r="V258" s="306"/>
      <c r="W258" s="306"/>
      <c r="X258" s="306"/>
      <c r="Y258" s="306"/>
      <c r="Z258" s="306"/>
    </row>
    <row r="259" spans="1:26" x14ac:dyDescent="0.35">
      <c r="A259" s="306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6"/>
      <c r="P259" s="306"/>
      <c r="Q259" s="306"/>
      <c r="R259" s="306"/>
      <c r="S259" s="306"/>
      <c r="T259" s="306"/>
      <c r="U259" s="306"/>
      <c r="V259" s="306"/>
      <c r="W259" s="306"/>
      <c r="X259" s="306"/>
      <c r="Y259" s="306"/>
      <c r="Z259" s="306"/>
    </row>
    <row r="260" spans="1:26" x14ac:dyDescent="0.35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6"/>
      <c r="P260" s="306"/>
      <c r="Q260" s="306"/>
      <c r="R260" s="306"/>
      <c r="S260" s="306"/>
      <c r="T260" s="306"/>
      <c r="U260" s="306"/>
      <c r="V260" s="306"/>
      <c r="W260" s="306"/>
      <c r="X260" s="306"/>
      <c r="Y260" s="306"/>
      <c r="Z260" s="306"/>
    </row>
    <row r="261" spans="1:26" x14ac:dyDescent="0.35">
      <c r="A261" s="306"/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</row>
    <row r="262" spans="1:26" x14ac:dyDescent="0.35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306"/>
      <c r="Q262" s="306"/>
      <c r="R262" s="306"/>
      <c r="S262" s="306"/>
      <c r="T262" s="306"/>
      <c r="U262" s="306"/>
      <c r="V262" s="306"/>
      <c r="W262" s="306"/>
      <c r="X262" s="306"/>
      <c r="Y262" s="306"/>
      <c r="Z262" s="306"/>
    </row>
    <row r="263" spans="1:26" x14ac:dyDescent="0.35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6"/>
      <c r="Q263" s="306"/>
      <c r="R263" s="306"/>
      <c r="S263" s="306"/>
      <c r="T263" s="306"/>
      <c r="U263" s="306"/>
      <c r="V263" s="306"/>
      <c r="W263" s="306"/>
      <c r="X263" s="306"/>
      <c r="Y263" s="306"/>
      <c r="Z263" s="306"/>
    </row>
    <row r="264" spans="1:26" x14ac:dyDescent="0.35">
      <c r="A264" s="306"/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6"/>
      <c r="O264" s="306"/>
      <c r="P264" s="306"/>
      <c r="Q264" s="306"/>
      <c r="R264" s="306"/>
      <c r="S264" s="306"/>
      <c r="T264" s="306"/>
      <c r="U264" s="306"/>
      <c r="V264" s="306"/>
      <c r="W264" s="306"/>
      <c r="X264" s="306"/>
      <c r="Y264" s="306"/>
      <c r="Z264" s="306"/>
    </row>
    <row r="265" spans="1:26" x14ac:dyDescent="0.35">
      <c r="A265" s="306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6"/>
      <c r="P265" s="306"/>
      <c r="Q265" s="306"/>
      <c r="R265" s="306"/>
      <c r="S265" s="306"/>
      <c r="T265" s="306"/>
      <c r="U265" s="306"/>
      <c r="V265" s="306"/>
      <c r="W265" s="306"/>
      <c r="X265" s="306"/>
      <c r="Y265" s="306"/>
      <c r="Z265" s="306"/>
    </row>
    <row r="266" spans="1:26" x14ac:dyDescent="0.35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6"/>
      <c r="P266" s="306"/>
      <c r="Q266" s="306"/>
      <c r="R266" s="306"/>
      <c r="S266" s="306"/>
      <c r="T266" s="306"/>
      <c r="U266" s="306"/>
      <c r="V266" s="306"/>
      <c r="W266" s="306"/>
      <c r="X266" s="306"/>
      <c r="Y266" s="306"/>
      <c r="Z266" s="306"/>
    </row>
    <row r="267" spans="1:26" x14ac:dyDescent="0.35">
      <c r="A267" s="306"/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</row>
    <row r="268" spans="1:26" x14ac:dyDescent="0.35">
      <c r="A268" s="306"/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6"/>
      <c r="S268" s="306"/>
      <c r="T268" s="306"/>
      <c r="U268" s="306"/>
      <c r="V268" s="306"/>
      <c r="W268" s="306"/>
      <c r="X268" s="306"/>
      <c r="Y268" s="306"/>
      <c r="Z268" s="306"/>
    </row>
    <row r="269" spans="1:26" x14ac:dyDescent="0.35">
      <c r="A269" s="306"/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N269" s="306"/>
      <c r="O269" s="306"/>
      <c r="P269" s="306"/>
      <c r="Q269" s="306"/>
      <c r="R269" s="306"/>
      <c r="S269" s="306"/>
      <c r="T269" s="306"/>
      <c r="U269" s="306"/>
      <c r="V269" s="306"/>
      <c r="W269" s="306"/>
      <c r="X269" s="306"/>
      <c r="Y269" s="306"/>
      <c r="Z269" s="306"/>
    </row>
    <row r="270" spans="1:26" x14ac:dyDescent="0.35">
      <c r="A270" s="306"/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N270" s="306"/>
      <c r="O270" s="306"/>
      <c r="P270" s="306"/>
      <c r="Q270" s="306"/>
      <c r="R270" s="306"/>
      <c r="S270" s="306"/>
      <c r="T270" s="306"/>
      <c r="U270" s="306"/>
      <c r="V270" s="306"/>
      <c r="W270" s="306"/>
      <c r="X270" s="306"/>
      <c r="Y270" s="306"/>
      <c r="Z270" s="306"/>
    </row>
    <row r="271" spans="1:26" x14ac:dyDescent="0.35">
      <c r="A271" s="306"/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N271" s="306"/>
      <c r="O271" s="306"/>
      <c r="P271" s="306"/>
      <c r="Q271" s="306"/>
      <c r="R271" s="306"/>
      <c r="S271" s="306"/>
      <c r="T271" s="306"/>
      <c r="U271" s="306"/>
      <c r="V271" s="306"/>
      <c r="W271" s="306"/>
      <c r="X271" s="306"/>
      <c r="Y271" s="306"/>
      <c r="Z271" s="306"/>
    </row>
    <row r="272" spans="1:26" x14ac:dyDescent="0.35">
      <c r="A272" s="306"/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N272" s="306"/>
      <c r="O272" s="306"/>
      <c r="P272" s="306"/>
      <c r="Q272" s="306"/>
      <c r="R272" s="306"/>
      <c r="S272" s="306"/>
      <c r="T272" s="306"/>
      <c r="U272" s="306"/>
      <c r="V272" s="306"/>
      <c r="W272" s="306"/>
      <c r="X272" s="306"/>
      <c r="Y272" s="306"/>
      <c r="Z272" s="306"/>
    </row>
    <row r="273" spans="1:26" x14ac:dyDescent="0.35">
      <c r="A273" s="306"/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N273" s="306"/>
      <c r="O273" s="306"/>
      <c r="P273" s="306"/>
      <c r="Q273" s="306"/>
      <c r="R273" s="306"/>
      <c r="S273" s="306"/>
      <c r="T273" s="306"/>
      <c r="U273" s="306"/>
      <c r="V273" s="306"/>
      <c r="W273" s="306"/>
      <c r="X273" s="306"/>
      <c r="Y273" s="306"/>
      <c r="Z273" s="306"/>
    </row>
    <row r="274" spans="1:26" x14ac:dyDescent="0.35">
      <c r="A274" s="306"/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06"/>
      <c r="R274" s="306"/>
      <c r="S274" s="306"/>
      <c r="T274" s="306"/>
      <c r="U274" s="306"/>
      <c r="V274" s="306"/>
      <c r="W274" s="306"/>
      <c r="X274" s="306"/>
      <c r="Y274" s="306"/>
      <c r="Z274" s="306"/>
    </row>
    <row r="275" spans="1:26" x14ac:dyDescent="0.35">
      <c r="A275" s="306"/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N275" s="306"/>
      <c r="O275" s="306"/>
      <c r="P275" s="306"/>
      <c r="Q275" s="306"/>
      <c r="R275" s="306"/>
      <c r="S275" s="306"/>
      <c r="T275" s="306"/>
      <c r="U275" s="306"/>
      <c r="V275" s="306"/>
      <c r="W275" s="306"/>
      <c r="X275" s="306"/>
      <c r="Y275" s="306"/>
      <c r="Z275" s="306"/>
    </row>
    <row r="276" spans="1:26" x14ac:dyDescent="0.35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6"/>
      <c r="Q276" s="306"/>
      <c r="R276" s="306"/>
      <c r="S276" s="306"/>
      <c r="T276" s="306"/>
      <c r="U276" s="306"/>
      <c r="V276" s="306"/>
      <c r="W276" s="306"/>
      <c r="X276" s="306"/>
      <c r="Y276" s="306"/>
      <c r="Z276" s="306"/>
    </row>
    <row r="277" spans="1:26" x14ac:dyDescent="0.35">
      <c r="A277" s="306"/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N277" s="306"/>
      <c r="O277" s="306"/>
      <c r="P277" s="306"/>
      <c r="Q277" s="306"/>
      <c r="R277" s="306"/>
      <c r="S277" s="306"/>
      <c r="T277" s="306"/>
      <c r="U277" s="306"/>
      <c r="V277" s="306"/>
      <c r="W277" s="306"/>
      <c r="X277" s="306"/>
      <c r="Y277" s="306"/>
      <c r="Z277" s="306"/>
    </row>
    <row r="278" spans="1:26" x14ac:dyDescent="0.35">
      <c r="A278" s="306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6"/>
      <c r="P278" s="306"/>
      <c r="Q278" s="306"/>
      <c r="R278" s="306"/>
      <c r="S278" s="306"/>
      <c r="T278" s="306"/>
      <c r="U278" s="306"/>
      <c r="V278" s="306"/>
      <c r="W278" s="306"/>
      <c r="X278" s="306"/>
      <c r="Y278" s="306"/>
      <c r="Z278" s="306"/>
    </row>
    <row r="279" spans="1:26" x14ac:dyDescent="0.35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6"/>
      <c r="P279" s="306"/>
      <c r="Q279" s="306"/>
      <c r="R279" s="306"/>
      <c r="S279" s="306"/>
      <c r="T279" s="306"/>
      <c r="U279" s="306"/>
      <c r="V279" s="306"/>
      <c r="W279" s="306"/>
      <c r="X279" s="306"/>
      <c r="Y279" s="306"/>
      <c r="Z279" s="306"/>
    </row>
    <row r="280" spans="1:26" x14ac:dyDescent="0.35">
      <c r="A280" s="306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06"/>
      <c r="P280" s="306"/>
      <c r="Q280" s="306"/>
      <c r="R280" s="306"/>
      <c r="S280" s="306"/>
      <c r="T280" s="306"/>
      <c r="U280" s="306"/>
      <c r="V280" s="306"/>
      <c r="W280" s="306"/>
      <c r="X280" s="306"/>
      <c r="Y280" s="306"/>
      <c r="Z280" s="306"/>
    </row>
    <row r="281" spans="1:26" x14ac:dyDescent="0.35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6"/>
      <c r="U281" s="306"/>
      <c r="V281" s="306"/>
      <c r="W281" s="306"/>
      <c r="X281" s="306"/>
      <c r="Y281" s="306"/>
      <c r="Z281" s="306"/>
    </row>
    <row r="282" spans="1:26" x14ac:dyDescent="0.35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06"/>
      <c r="P282" s="306"/>
      <c r="Q282" s="306"/>
      <c r="R282" s="306"/>
      <c r="S282" s="306"/>
      <c r="T282" s="306"/>
      <c r="U282" s="306"/>
      <c r="V282" s="306"/>
      <c r="W282" s="306"/>
      <c r="X282" s="306"/>
      <c r="Y282" s="306"/>
      <c r="Z282" s="306"/>
    </row>
    <row r="283" spans="1:26" x14ac:dyDescent="0.35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06"/>
      <c r="P283" s="306"/>
      <c r="Q283" s="306"/>
      <c r="R283" s="306"/>
      <c r="S283" s="306"/>
      <c r="T283" s="306"/>
      <c r="U283" s="306"/>
      <c r="V283" s="306"/>
      <c r="W283" s="306"/>
      <c r="X283" s="306"/>
      <c r="Y283" s="306"/>
      <c r="Z283" s="306"/>
    </row>
    <row r="284" spans="1:26" x14ac:dyDescent="0.35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06"/>
      <c r="P284" s="306"/>
      <c r="Q284" s="306"/>
      <c r="R284" s="306"/>
      <c r="S284" s="306"/>
      <c r="T284" s="306"/>
      <c r="U284" s="306"/>
      <c r="V284" s="306"/>
      <c r="W284" s="306"/>
      <c r="X284" s="306"/>
      <c r="Y284" s="306"/>
      <c r="Z284" s="306"/>
    </row>
    <row r="285" spans="1:26" x14ac:dyDescent="0.35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06"/>
      <c r="P285" s="306"/>
      <c r="Q285" s="306"/>
      <c r="R285" s="306"/>
      <c r="S285" s="306"/>
      <c r="T285" s="306"/>
      <c r="U285" s="306"/>
      <c r="V285" s="306"/>
      <c r="W285" s="306"/>
      <c r="X285" s="306"/>
      <c r="Y285" s="306"/>
      <c r="Z285" s="306"/>
    </row>
    <row r="286" spans="1:26" x14ac:dyDescent="0.35">
      <c r="A286" s="306"/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N286" s="306"/>
      <c r="O286" s="306"/>
      <c r="P286" s="306"/>
      <c r="Q286" s="306"/>
      <c r="R286" s="306"/>
      <c r="S286" s="306"/>
      <c r="T286" s="306"/>
      <c r="U286" s="306"/>
      <c r="V286" s="306"/>
      <c r="W286" s="306"/>
      <c r="X286" s="306"/>
      <c r="Y286" s="306"/>
      <c r="Z286" s="306"/>
    </row>
    <row r="287" spans="1:26" x14ac:dyDescent="0.35">
      <c r="A287" s="306"/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N287" s="306"/>
      <c r="O287" s="306"/>
      <c r="P287" s="306"/>
      <c r="Q287" s="306"/>
      <c r="R287" s="306"/>
      <c r="S287" s="306"/>
      <c r="T287" s="306"/>
      <c r="U287" s="306"/>
      <c r="V287" s="306"/>
      <c r="W287" s="306"/>
      <c r="X287" s="306"/>
      <c r="Y287" s="306"/>
      <c r="Z287" s="306"/>
    </row>
    <row r="288" spans="1:26" x14ac:dyDescent="0.35">
      <c r="A288" s="306"/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N288" s="306"/>
      <c r="O288" s="306"/>
      <c r="P288" s="306"/>
      <c r="Q288" s="306"/>
      <c r="R288" s="306"/>
      <c r="S288" s="306"/>
      <c r="T288" s="306"/>
      <c r="U288" s="306"/>
      <c r="V288" s="306"/>
      <c r="W288" s="306"/>
      <c r="X288" s="306"/>
      <c r="Y288" s="306"/>
      <c r="Z288" s="306"/>
    </row>
    <row r="289" spans="1:26" x14ac:dyDescent="0.35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6"/>
      <c r="Q289" s="306"/>
      <c r="R289" s="306"/>
      <c r="S289" s="306"/>
      <c r="T289" s="306"/>
      <c r="U289" s="306"/>
      <c r="V289" s="306"/>
      <c r="W289" s="306"/>
      <c r="X289" s="306"/>
      <c r="Y289" s="306"/>
      <c r="Z289" s="306"/>
    </row>
    <row r="290" spans="1:26" x14ac:dyDescent="0.35">
      <c r="A290" s="306"/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N290" s="306"/>
      <c r="O290" s="306"/>
      <c r="P290" s="306"/>
      <c r="Q290" s="306"/>
      <c r="R290" s="306"/>
      <c r="S290" s="306"/>
      <c r="T290" s="306"/>
      <c r="U290" s="306"/>
      <c r="V290" s="306"/>
      <c r="W290" s="306"/>
      <c r="X290" s="306"/>
      <c r="Y290" s="306"/>
      <c r="Z290" s="306"/>
    </row>
    <row r="291" spans="1:26" x14ac:dyDescent="0.35">
      <c r="A291" s="306"/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N291" s="306"/>
      <c r="O291" s="306"/>
      <c r="P291" s="306"/>
      <c r="Q291" s="306"/>
      <c r="R291" s="306"/>
      <c r="S291" s="306"/>
      <c r="T291" s="306"/>
      <c r="U291" s="306"/>
      <c r="V291" s="306"/>
      <c r="W291" s="306"/>
      <c r="X291" s="306"/>
      <c r="Y291" s="306"/>
      <c r="Z291" s="306"/>
    </row>
    <row r="292" spans="1:26" x14ac:dyDescent="0.35">
      <c r="A292" s="306"/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N292" s="306"/>
      <c r="O292" s="306"/>
      <c r="P292" s="306"/>
      <c r="Q292" s="306"/>
      <c r="R292" s="306"/>
      <c r="S292" s="306"/>
      <c r="T292" s="306"/>
      <c r="U292" s="306"/>
      <c r="V292" s="306"/>
      <c r="W292" s="306"/>
      <c r="X292" s="306"/>
      <c r="Y292" s="306"/>
      <c r="Z292" s="306"/>
    </row>
    <row r="293" spans="1:26" x14ac:dyDescent="0.35">
      <c r="A293" s="306"/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N293" s="306"/>
      <c r="O293" s="306"/>
      <c r="P293" s="306"/>
      <c r="Q293" s="306"/>
      <c r="R293" s="306"/>
      <c r="S293" s="306"/>
      <c r="T293" s="306"/>
      <c r="U293" s="306"/>
      <c r="V293" s="306"/>
      <c r="W293" s="306"/>
      <c r="X293" s="306"/>
      <c r="Y293" s="306"/>
      <c r="Z293" s="306"/>
    </row>
    <row r="294" spans="1:26" x14ac:dyDescent="0.35">
      <c r="A294" s="306"/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N294" s="306"/>
      <c r="O294" s="306"/>
      <c r="P294" s="306"/>
      <c r="Q294" s="306"/>
      <c r="R294" s="306"/>
      <c r="S294" s="306"/>
      <c r="T294" s="306"/>
      <c r="U294" s="306"/>
      <c r="V294" s="306"/>
      <c r="W294" s="306"/>
      <c r="X294" s="306"/>
      <c r="Y294" s="306"/>
      <c r="Z294" s="306"/>
    </row>
    <row r="295" spans="1:26" x14ac:dyDescent="0.35">
      <c r="A295" s="306"/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N295" s="306"/>
      <c r="O295" s="306"/>
      <c r="P295" s="306"/>
      <c r="Q295" s="306"/>
      <c r="R295" s="306"/>
      <c r="S295" s="306"/>
      <c r="T295" s="306"/>
      <c r="U295" s="306"/>
      <c r="V295" s="306"/>
      <c r="W295" s="306"/>
      <c r="X295" s="306"/>
      <c r="Y295" s="306"/>
      <c r="Z295" s="306"/>
    </row>
    <row r="296" spans="1:26" x14ac:dyDescent="0.35">
      <c r="A296" s="306"/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N296" s="306"/>
      <c r="O296" s="306"/>
      <c r="P296" s="306"/>
      <c r="Q296" s="306"/>
      <c r="R296" s="306"/>
      <c r="S296" s="306"/>
      <c r="T296" s="306"/>
      <c r="U296" s="306"/>
      <c r="V296" s="306"/>
      <c r="W296" s="306"/>
      <c r="X296" s="306"/>
      <c r="Y296" s="306"/>
      <c r="Z296" s="306"/>
    </row>
    <row r="297" spans="1:26" x14ac:dyDescent="0.35">
      <c r="A297" s="306"/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N297" s="306"/>
      <c r="O297" s="306"/>
      <c r="P297" s="306"/>
      <c r="Q297" s="306"/>
      <c r="R297" s="306"/>
      <c r="S297" s="306"/>
      <c r="T297" s="306"/>
      <c r="U297" s="306"/>
      <c r="V297" s="306"/>
      <c r="W297" s="306"/>
      <c r="X297" s="306"/>
      <c r="Y297" s="306"/>
      <c r="Z297" s="306"/>
    </row>
    <row r="298" spans="1:26" x14ac:dyDescent="0.35">
      <c r="A298" s="306"/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N298" s="306"/>
      <c r="O298" s="306"/>
      <c r="P298" s="306"/>
      <c r="Q298" s="306"/>
      <c r="R298" s="306"/>
      <c r="S298" s="306"/>
      <c r="T298" s="306"/>
      <c r="U298" s="306"/>
      <c r="V298" s="306"/>
      <c r="W298" s="306"/>
      <c r="X298" s="306"/>
      <c r="Y298" s="306"/>
      <c r="Z298" s="306"/>
    </row>
    <row r="299" spans="1:26" x14ac:dyDescent="0.35">
      <c r="A299" s="306"/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N299" s="306"/>
      <c r="O299" s="306"/>
      <c r="P299" s="306"/>
      <c r="Q299" s="306"/>
      <c r="R299" s="306"/>
      <c r="S299" s="306"/>
      <c r="T299" s="306"/>
      <c r="U299" s="306"/>
      <c r="V299" s="306"/>
      <c r="W299" s="306"/>
      <c r="X299" s="306"/>
      <c r="Y299" s="306"/>
      <c r="Z299" s="306"/>
    </row>
    <row r="300" spans="1:26" x14ac:dyDescent="0.35">
      <c r="A300" s="306"/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N300" s="306"/>
      <c r="O300" s="306"/>
      <c r="P300" s="306"/>
      <c r="Q300" s="306"/>
      <c r="R300" s="306"/>
      <c r="S300" s="306"/>
      <c r="T300" s="306"/>
      <c r="U300" s="306"/>
      <c r="V300" s="306"/>
      <c r="W300" s="306"/>
      <c r="X300" s="306"/>
      <c r="Y300" s="306"/>
      <c r="Z300" s="306"/>
    </row>
    <row r="301" spans="1:26" x14ac:dyDescent="0.35">
      <c r="A301" s="306"/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N301" s="306"/>
      <c r="O301" s="306"/>
      <c r="P301" s="306"/>
      <c r="Q301" s="306"/>
      <c r="R301" s="306"/>
      <c r="S301" s="306"/>
      <c r="T301" s="306"/>
      <c r="U301" s="306"/>
      <c r="V301" s="306"/>
      <c r="W301" s="306"/>
      <c r="X301" s="306"/>
      <c r="Y301" s="306"/>
      <c r="Z301" s="306"/>
    </row>
    <row r="302" spans="1:26" x14ac:dyDescent="0.35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6"/>
      <c r="Q302" s="306"/>
      <c r="R302" s="306"/>
      <c r="S302" s="306"/>
      <c r="T302" s="306"/>
      <c r="U302" s="306"/>
      <c r="V302" s="306"/>
      <c r="W302" s="306"/>
      <c r="X302" s="306"/>
      <c r="Y302" s="306"/>
      <c r="Z302" s="306"/>
    </row>
    <row r="303" spans="1:26" x14ac:dyDescent="0.35">
      <c r="A303" s="306"/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N303" s="306"/>
      <c r="O303" s="306"/>
      <c r="P303" s="306"/>
      <c r="Q303" s="306"/>
      <c r="R303" s="306"/>
      <c r="S303" s="306"/>
      <c r="T303" s="306"/>
      <c r="U303" s="306"/>
      <c r="V303" s="306"/>
      <c r="W303" s="306"/>
      <c r="X303" s="306"/>
      <c r="Y303" s="306"/>
      <c r="Z303" s="306"/>
    </row>
    <row r="304" spans="1:26" x14ac:dyDescent="0.35">
      <c r="A304" s="306"/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N304" s="306"/>
      <c r="O304" s="306"/>
      <c r="P304" s="306"/>
      <c r="Q304" s="306"/>
      <c r="R304" s="306"/>
      <c r="S304" s="306"/>
      <c r="T304" s="306"/>
      <c r="U304" s="306"/>
      <c r="V304" s="306"/>
      <c r="W304" s="306"/>
      <c r="X304" s="306"/>
      <c r="Y304" s="306"/>
      <c r="Z304" s="306"/>
    </row>
    <row r="305" spans="1:26" x14ac:dyDescent="0.35">
      <c r="A305" s="306"/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N305" s="306"/>
      <c r="O305" s="306"/>
      <c r="P305" s="306"/>
      <c r="Q305" s="306"/>
      <c r="R305" s="306"/>
      <c r="S305" s="306"/>
      <c r="T305" s="306"/>
      <c r="U305" s="306"/>
      <c r="V305" s="306"/>
      <c r="W305" s="306"/>
      <c r="X305" s="306"/>
      <c r="Y305" s="306"/>
      <c r="Z305" s="306"/>
    </row>
    <row r="306" spans="1:26" x14ac:dyDescent="0.35">
      <c r="A306" s="306"/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N306" s="306"/>
      <c r="O306" s="306"/>
      <c r="P306" s="306"/>
      <c r="Q306" s="306"/>
      <c r="R306" s="306"/>
      <c r="S306" s="306"/>
      <c r="T306" s="306"/>
      <c r="U306" s="306"/>
      <c r="V306" s="306"/>
      <c r="W306" s="306"/>
      <c r="X306" s="306"/>
      <c r="Y306" s="306"/>
      <c r="Z306" s="306"/>
    </row>
    <row r="307" spans="1:26" x14ac:dyDescent="0.35">
      <c r="A307" s="306"/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N307" s="306"/>
      <c r="O307" s="306"/>
      <c r="P307" s="306"/>
      <c r="Q307" s="306"/>
      <c r="R307" s="306"/>
      <c r="S307" s="306"/>
      <c r="T307" s="306"/>
      <c r="U307" s="306"/>
      <c r="V307" s="306"/>
      <c r="W307" s="306"/>
      <c r="X307" s="306"/>
      <c r="Y307" s="306"/>
      <c r="Z307" s="306"/>
    </row>
    <row r="308" spans="1:26" x14ac:dyDescent="0.35">
      <c r="A308" s="306"/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N308" s="306"/>
      <c r="O308" s="306"/>
      <c r="P308" s="306"/>
      <c r="Q308" s="306"/>
      <c r="R308" s="306"/>
      <c r="S308" s="306"/>
      <c r="T308" s="306"/>
      <c r="U308" s="306"/>
      <c r="V308" s="306"/>
      <c r="W308" s="306"/>
      <c r="X308" s="306"/>
      <c r="Y308" s="306"/>
      <c r="Z308" s="306"/>
    </row>
    <row r="309" spans="1:26" x14ac:dyDescent="0.35">
      <c r="A309" s="306"/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N309" s="306"/>
      <c r="O309" s="306"/>
      <c r="P309" s="306"/>
      <c r="Q309" s="306"/>
      <c r="R309" s="306"/>
      <c r="S309" s="306"/>
      <c r="T309" s="306"/>
      <c r="U309" s="306"/>
      <c r="V309" s="306"/>
      <c r="W309" s="306"/>
      <c r="X309" s="306"/>
      <c r="Y309" s="306"/>
      <c r="Z309" s="306"/>
    </row>
    <row r="310" spans="1:26" x14ac:dyDescent="0.35">
      <c r="A310" s="306"/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N310" s="306"/>
      <c r="O310" s="306"/>
      <c r="P310" s="306"/>
      <c r="Q310" s="306"/>
      <c r="R310" s="306"/>
      <c r="S310" s="306"/>
      <c r="T310" s="306"/>
      <c r="U310" s="306"/>
      <c r="V310" s="306"/>
      <c r="W310" s="306"/>
      <c r="X310" s="306"/>
      <c r="Y310" s="306"/>
      <c r="Z310" s="306"/>
    </row>
    <row r="311" spans="1:26" x14ac:dyDescent="0.35">
      <c r="A311" s="306"/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N311" s="306"/>
      <c r="O311" s="306"/>
      <c r="P311" s="306"/>
      <c r="Q311" s="306"/>
      <c r="R311" s="306"/>
      <c r="S311" s="306"/>
      <c r="T311" s="306"/>
      <c r="U311" s="306"/>
      <c r="V311" s="306"/>
      <c r="W311" s="306"/>
      <c r="X311" s="306"/>
      <c r="Y311" s="306"/>
      <c r="Z311" s="306"/>
    </row>
    <row r="312" spans="1:26" x14ac:dyDescent="0.35">
      <c r="A312" s="306"/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N312" s="306"/>
      <c r="O312" s="306"/>
      <c r="P312" s="306"/>
      <c r="Q312" s="306"/>
      <c r="R312" s="306"/>
      <c r="S312" s="306"/>
      <c r="T312" s="306"/>
      <c r="U312" s="306"/>
      <c r="V312" s="306"/>
      <c r="W312" s="306"/>
      <c r="X312" s="306"/>
      <c r="Y312" s="306"/>
      <c r="Z312" s="306"/>
    </row>
    <row r="313" spans="1:26" x14ac:dyDescent="0.35">
      <c r="A313" s="306"/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N313" s="306"/>
      <c r="O313" s="306"/>
      <c r="P313" s="306"/>
      <c r="Q313" s="306"/>
      <c r="R313" s="306"/>
      <c r="S313" s="306"/>
      <c r="T313" s="306"/>
      <c r="U313" s="306"/>
      <c r="V313" s="306"/>
      <c r="W313" s="306"/>
      <c r="X313" s="306"/>
      <c r="Y313" s="306"/>
      <c r="Z313" s="306"/>
    </row>
    <row r="314" spans="1:26" x14ac:dyDescent="0.35">
      <c r="A314" s="306"/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N314" s="306"/>
      <c r="O314" s="306"/>
      <c r="P314" s="306"/>
      <c r="Q314" s="306"/>
      <c r="R314" s="306"/>
      <c r="S314" s="306"/>
      <c r="T314" s="306"/>
      <c r="U314" s="306"/>
      <c r="V314" s="306"/>
      <c r="W314" s="306"/>
      <c r="X314" s="306"/>
      <c r="Y314" s="306"/>
      <c r="Z314" s="306"/>
    </row>
    <row r="315" spans="1:26" x14ac:dyDescent="0.35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6"/>
      <c r="Q315" s="306"/>
      <c r="R315" s="306"/>
      <c r="S315" s="306"/>
      <c r="T315" s="306"/>
      <c r="U315" s="306"/>
      <c r="V315" s="306"/>
      <c r="W315" s="306"/>
      <c r="X315" s="306"/>
      <c r="Y315" s="306"/>
      <c r="Z315" s="306"/>
    </row>
    <row r="316" spans="1:26" x14ac:dyDescent="0.35">
      <c r="A316" s="306"/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6"/>
      <c r="O316" s="306"/>
      <c r="P316" s="306"/>
      <c r="Q316" s="306"/>
      <c r="R316" s="306"/>
      <c r="S316" s="306"/>
      <c r="T316" s="306"/>
      <c r="U316" s="306"/>
      <c r="V316" s="306"/>
      <c r="W316" s="306"/>
      <c r="X316" s="306"/>
      <c r="Y316" s="306"/>
      <c r="Z316" s="306"/>
    </row>
    <row r="317" spans="1:26" x14ac:dyDescent="0.35">
      <c r="A317" s="306"/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N317" s="306"/>
      <c r="O317" s="306"/>
      <c r="P317" s="306"/>
      <c r="Q317" s="306"/>
      <c r="R317" s="306"/>
      <c r="S317" s="306"/>
      <c r="T317" s="306"/>
      <c r="U317" s="306"/>
      <c r="V317" s="306"/>
      <c r="W317" s="306"/>
      <c r="X317" s="306"/>
      <c r="Y317" s="306"/>
      <c r="Z317" s="306"/>
    </row>
    <row r="318" spans="1:26" x14ac:dyDescent="0.35">
      <c r="A318" s="306"/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N318" s="306"/>
      <c r="O318" s="306"/>
      <c r="P318" s="306"/>
      <c r="Q318" s="306"/>
      <c r="R318" s="306"/>
      <c r="S318" s="306"/>
      <c r="T318" s="306"/>
      <c r="U318" s="306"/>
      <c r="V318" s="306"/>
      <c r="W318" s="306"/>
      <c r="X318" s="306"/>
      <c r="Y318" s="306"/>
      <c r="Z318" s="306"/>
    </row>
    <row r="319" spans="1:26" x14ac:dyDescent="0.35">
      <c r="A319" s="306"/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N319" s="306"/>
      <c r="O319" s="306"/>
      <c r="P319" s="306"/>
      <c r="Q319" s="306"/>
      <c r="R319" s="306"/>
      <c r="S319" s="306"/>
      <c r="T319" s="306"/>
      <c r="U319" s="306"/>
      <c r="V319" s="306"/>
      <c r="W319" s="306"/>
      <c r="X319" s="306"/>
      <c r="Y319" s="306"/>
      <c r="Z319" s="306"/>
    </row>
    <row r="320" spans="1:26" x14ac:dyDescent="0.35">
      <c r="A320" s="306"/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N320" s="306"/>
      <c r="O320" s="306"/>
      <c r="P320" s="306"/>
      <c r="Q320" s="306"/>
      <c r="R320" s="306"/>
      <c r="S320" s="306"/>
      <c r="T320" s="306"/>
      <c r="U320" s="306"/>
      <c r="V320" s="306"/>
      <c r="W320" s="306"/>
      <c r="X320" s="306"/>
      <c r="Y320" s="306"/>
      <c r="Z320" s="306"/>
    </row>
    <row r="321" spans="1:26" x14ac:dyDescent="0.35">
      <c r="A321" s="306"/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N321" s="306"/>
      <c r="O321" s="306"/>
      <c r="P321" s="306"/>
      <c r="Q321" s="306"/>
      <c r="R321" s="306"/>
      <c r="S321" s="306"/>
      <c r="T321" s="306"/>
      <c r="U321" s="306"/>
      <c r="V321" s="306"/>
      <c r="W321" s="306"/>
      <c r="X321" s="306"/>
      <c r="Y321" s="306"/>
      <c r="Z321" s="306"/>
    </row>
    <row r="322" spans="1:26" x14ac:dyDescent="0.35">
      <c r="A322" s="306"/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N322" s="306"/>
      <c r="O322" s="306"/>
      <c r="P322" s="306"/>
      <c r="Q322" s="306"/>
      <c r="R322" s="306"/>
      <c r="S322" s="306"/>
      <c r="T322" s="306"/>
      <c r="U322" s="306"/>
      <c r="V322" s="306"/>
      <c r="W322" s="306"/>
      <c r="X322" s="306"/>
      <c r="Y322" s="306"/>
      <c r="Z322" s="306"/>
    </row>
    <row r="323" spans="1:26" x14ac:dyDescent="0.35">
      <c r="A323" s="306"/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N323" s="306"/>
      <c r="O323" s="306"/>
      <c r="P323" s="306"/>
      <c r="Q323" s="306"/>
      <c r="R323" s="306"/>
      <c r="S323" s="306"/>
      <c r="T323" s="306"/>
      <c r="U323" s="306"/>
      <c r="V323" s="306"/>
      <c r="W323" s="306"/>
      <c r="X323" s="306"/>
      <c r="Y323" s="306"/>
      <c r="Z323" s="306"/>
    </row>
    <row r="324" spans="1:26" x14ac:dyDescent="0.35">
      <c r="A324" s="306"/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N324" s="306"/>
      <c r="O324" s="306"/>
      <c r="P324" s="306"/>
      <c r="Q324" s="306"/>
      <c r="R324" s="306"/>
      <c r="S324" s="306"/>
      <c r="T324" s="306"/>
      <c r="U324" s="306"/>
      <c r="V324" s="306"/>
      <c r="W324" s="306"/>
      <c r="X324" s="306"/>
      <c r="Y324" s="306"/>
      <c r="Z324" s="306"/>
    </row>
    <row r="325" spans="1:26" x14ac:dyDescent="0.35">
      <c r="A325" s="306"/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N325" s="306"/>
      <c r="O325" s="306"/>
      <c r="P325" s="306"/>
      <c r="Q325" s="306"/>
      <c r="R325" s="306"/>
      <c r="S325" s="306"/>
      <c r="T325" s="306"/>
      <c r="U325" s="306"/>
      <c r="V325" s="306"/>
      <c r="W325" s="306"/>
      <c r="X325" s="306"/>
      <c r="Y325" s="306"/>
      <c r="Z325" s="306"/>
    </row>
    <row r="326" spans="1:26" x14ac:dyDescent="0.35">
      <c r="A326" s="306"/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N326" s="306"/>
      <c r="O326" s="306"/>
      <c r="P326" s="306"/>
      <c r="Q326" s="306"/>
      <c r="R326" s="306"/>
      <c r="S326" s="306"/>
      <c r="T326" s="306"/>
      <c r="U326" s="306"/>
      <c r="V326" s="306"/>
      <c r="W326" s="306"/>
      <c r="X326" s="306"/>
      <c r="Y326" s="306"/>
      <c r="Z326" s="306"/>
    </row>
    <row r="327" spans="1:26" x14ac:dyDescent="0.35">
      <c r="A327" s="306"/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N327" s="306"/>
      <c r="O327" s="306"/>
      <c r="P327" s="306"/>
      <c r="Q327" s="306"/>
      <c r="R327" s="306"/>
      <c r="S327" s="306"/>
      <c r="T327" s="306"/>
      <c r="U327" s="306"/>
      <c r="V327" s="306"/>
      <c r="W327" s="306"/>
      <c r="X327" s="306"/>
      <c r="Y327" s="306"/>
      <c r="Z327" s="306"/>
    </row>
    <row r="328" spans="1:26" x14ac:dyDescent="0.35">
      <c r="A328" s="306"/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N328" s="306"/>
      <c r="O328" s="306"/>
      <c r="P328" s="306"/>
      <c r="Q328" s="306"/>
      <c r="R328" s="306"/>
      <c r="S328" s="306"/>
      <c r="T328" s="306"/>
      <c r="U328" s="306"/>
      <c r="V328" s="306"/>
      <c r="W328" s="306"/>
      <c r="X328" s="306"/>
      <c r="Y328" s="306"/>
      <c r="Z328" s="306"/>
    </row>
    <row r="329" spans="1:26" x14ac:dyDescent="0.35">
      <c r="A329" s="306"/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N329" s="306"/>
      <c r="O329" s="306"/>
      <c r="P329" s="306"/>
      <c r="Q329" s="306"/>
      <c r="R329" s="306"/>
      <c r="S329" s="306"/>
      <c r="T329" s="306"/>
      <c r="U329" s="306"/>
      <c r="V329" s="306"/>
      <c r="W329" s="306"/>
      <c r="X329" s="306"/>
      <c r="Y329" s="306"/>
      <c r="Z329" s="306"/>
    </row>
    <row r="330" spans="1:26" x14ac:dyDescent="0.35">
      <c r="A330" s="306"/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N330" s="306"/>
      <c r="O330" s="306"/>
      <c r="P330" s="306"/>
      <c r="Q330" s="306"/>
      <c r="R330" s="306"/>
      <c r="S330" s="306"/>
      <c r="T330" s="306"/>
      <c r="U330" s="306"/>
      <c r="V330" s="306"/>
      <c r="W330" s="306"/>
      <c r="X330" s="306"/>
      <c r="Y330" s="306"/>
      <c r="Z330" s="306"/>
    </row>
    <row r="331" spans="1:26" x14ac:dyDescent="0.35">
      <c r="A331" s="306"/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N331" s="306"/>
      <c r="O331" s="306"/>
      <c r="P331" s="306"/>
      <c r="Q331" s="306"/>
      <c r="R331" s="306"/>
      <c r="S331" s="306"/>
      <c r="T331" s="306"/>
      <c r="U331" s="306"/>
      <c r="V331" s="306"/>
      <c r="W331" s="306"/>
      <c r="X331" s="306"/>
      <c r="Y331" s="306"/>
      <c r="Z331" s="306"/>
    </row>
    <row r="332" spans="1:26" x14ac:dyDescent="0.35">
      <c r="A332" s="306"/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N332" s="306"/>
      <c r="O332" s="306"/>
      <c r="P332" s="306"/>
      <c r="Q332" s="306"/>
      <c r="R332" s="306"/>
      <c r="S332" s="306"/>
      <c r="T332" s="306"/>
      <c r="U332" s="306"/>
      <c r="V332" s="306"/>
      <c r="W332" s="306"/>
      <c r="X332" s="306"/>
      <c r="Y332" s="306"/>
      <c r="Z332" s="306"/>
    </row>
    <row r="333" spans="1:26" x14ac:dyDescent="0.35">
      <c r="A333" s="306"/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N333" s="306"/>
      <c r="O333" s="306"/>
      <c r="P333" s="306"/>
      <c r="Q333" s="306"/>
      <c r="R333" s="306"/>
      <c r="S333" s="306"/>
      <c r="T333" s="306"/>
      <c r="U333" s="306"/>
      <c r="V333" s="306"/>
      <c r="W333" s="306"/>
      <c r="X333" s="306"/>
      <c r="Y333" s="306"/>
      <c r="Z333" s="306"/>
    </row>
    <row r="334" spans="1:26" x14ac:dyDescent="0.35">
      <c r="A334" s="306"/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N334" s="306"/>
      <c r="O334" s="306"/>
      <c r="P334" s="306"/>
      <c r="Q334" s="306"/>
      <c r="R334" s="306"/>
      <c r="S334" s="306"/>
      <c r="T334" s="306"/>
      <c r="U334" s="306"/>
      <c r="V334" s="306"/>
      <c r="W334" s="306"/>
      <c r="X334" s="306"/>
      <c r="Y334" s="306"/>
      <c r="Z334" s="306"/>
    </row>
    <row r="335" spans="1:26" x14ac:dyDescent="0.35">
      <c r="A335" s="306"/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N335" s="306"/>
      <c r="O335" s="306"/>
      <c r="P335" s="306"/>
      <c r="Q335" s="306"/>
      <c r="R335" s="306"/>
      <c r="S335" s="306"/>
      <c r="T335" s="306"/>
      <c r="U335" s="306"/>
      <c r="V335" s="306"/>
      <c r="W335" s="306"/>
      <c r="X335" s="306"/>
      <c r="Y335" s="306"/>
      <c r="Z335" s="306"/>
    </row>
    <row r="336" spans="1:26" x14ac:dyDescent="0.35">
      <c r="A336" s="306"/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N336" s="306"/>
      <c r="O336" s="306"/>
      <c r="P336" s="306"/>
      <c r="Q336" s="306"/>
      <c r="R336" s="306"/>
      <c r="S336" s="306"/>
      <c r="T336" s="306"/>
      <c r="U336" s="306"/>
      <c r="V336" s="306"/>
      <c r="W336" s="306"/>
      <c r="X336" s="306"/>
      <c r="Y336" s="306"/>
      <c r="Z336" s="306"/>
    </row>
    <row r="337" spans="1:26" x14ac:dyDescent="0.35">
      <c r="A337" s="306"/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N337" s="306"/>
      <c r="O337" s="306"/>
      <c r="P337" s="306"/>
      <c r="Q337" s="306"/>
      <c r="R337" s="306"/>
      <c r="S337" s="306"/>
      <c r="T337" s="306"/>
      <c r="U337" s="306"/>
      <c r="V337" s="306"/>
      <c r="W337" s="306"/>
      <c r="X337" s="306"/>
      <c r="Y337" s="306"/>
      <c r="Z337" s="306"/>
    </row>
    <row r="338" spans="1:26" x14ac:dyDescent="0.35">
      <c r="A338" s="306"/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N338" s="306"/>
      <c r="O338" s="306"/>
      <c r="P338" s="306"/>
      <c r="Q338" s="306"/>
      <c r="R338" s="306"/>
      <c r="S338" s="306"/>
      <c r="T338" s="306"/>
      <c r="U338" s="306"/>
      <c r="V338" s="306"/>
      <c r="W338" s="306"/>
      <c r="X338" s="306"/>
      <c r="Y338" s="306"/>
      <c r="Z338" s="306"/>
    </row>
    <row r="339" spans="1:26" x14ac:dyDescent="0.35">
      <c r="A339" s="306"/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N339" s="306"/>
      <c r="O339" s="306"/>
      <c r="P339" s="306"/>
      <c r="Q339" s="306"/>
      <c r="R339" s="306"/>
      <c r="S339" s="306"/>
      <c r="T339" s="306"/>
      <c r="U339" s="306"/>
      <c r="V339" s="306"/>
      <c r="W339" s="306"/>
      <c r="X339" s="306"/>
      <c r="Y339" s="306"/>
      <c r="Z339" s="306"/>
    </row>
    <row r="340" spans="1:26" x14ac:dyDescent="0.35">
      <c r="A340" s="306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306"/>
      <c r="Q340" s="306"/>
      <c r="R340" s="306"/>
      <c r="S340" s="306"/>
      <c r="T340" s="306"/>
      <c r="U340" s="306"/>
      <c r="V340" s="306"/>
      <c r="W340" s="306"/>
      <c r="X340" s="306"/>
      <c r="Y340" s="306"/>
      <c r="Z340" s="306"/>
    </row>
    <row r="341" spans="1:26" x14ac:dyDescent="0.35">
      <c r="A341" s="306"/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N341" s="306"/>
      <c r="O341" s="306"/>
      <c r="P341" s="306"/>
      <c r="Q341" s="306"/>
      <c r="R341" s="306"/>
      <c r="S341" s="306"/>
      <c r="T341" s="306"/>
      <c r="U341" s="306"/>
      <c r="V341" s="306"/>
      <c r="W341" s="306"/>
      <c r="X341" s="306"/>
      <c r="Y341" s="306"/>
      <c r="Z341" s="306"/>
    </row>
    <row r="342" spans="1:26" x14ac:dyDescent="0.35">
      <c r="A342" s="306"/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N342" s="306"/>
      <c r="O342" s="306"/>
      <c r="P342" s="306"/>
      <c r="Q342" s="306"/>
      <c r="R342" s="306"/>
      <c r="S342" s="306"/>
      <c r="T342" s="306"/>
      <c r="U342" s="306"/>
      <c r="V342" s="306"/>
      <c r="W342" s="306"/>
      <c r="X342" s="306"/>
      <c r="Y342" s="306"/>
      <c r="Z342" s="306"/>
    </row>
    <row r="343" spans="1:26" x14ac:dyDescent="0.35">
      <c r="A343" s="306"/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N343" s="306"/>
      <c r="O343" s="306"/>
      <c r="P343" s="306"/>
      <c r="Q343" s="306"/>
      <c r="R343" s="306"/>
      <c r="S343" s="306"/>
      <c r="T343" s="306"/>
      <c r="U343" s="306"/>
      <c r="V343" s="306"/>
      <c r="W343" s="306"/>
      <c r="X343" s="306"/>
      <c r="Y343" s="306"/>
      <c r="Z343" s="306"/>
    </row>
    <row r="344" spans="1:26" x14ac:dyDescent="0.35">
      <c r="A344" s="306"/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N344" s="306"/>
      <c r="O344" s="306"/>
      <c r="P344" s="306"/>
      <c r="Q344" s="306"/>
      <c r="R344" s="306"/>
      <c r="S344" s="306"/>
      <c r="T344" s="306"/>
      <c r="U344" s="306"/>
      <c r="V344" s="306"/>
      <c r="W344" s="306"/>
      <c r="X344" s="306"/>
      <c r="Y344" s="306"/>
      <c r="Z344" s="306"/>
    </row>
    <row r="345" spans="1:26" x14ac:dyDescent="0.35">
      <c r="A345" s="306"/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N345" s="306"/>
      <c r="O345" s="306"/>
      <c r="P345" s="306"/>
      <c r="Q345" s="306"/>
      <c r="R345" s="306"/>
      <c r="S345" s="306"/>
      <c r="T345" s="306"/>
      <c r="U345" s="306"/>
      <c r="V345" s="306"/>
      <c r="W345" s="306"/>
      <c r="X345" s="306"/>
      <c r="Y345" s="306"/>
      <c r="Z345" s="306"/>
    </row>
    <row r="346" spans="1:26" x14ac:dyDescent="0.35">
      <c r="A346" s="306"/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N346" s="306"/>
      <c r="O346" s="306"/>
      <c r="P346" s="306"/>
      <c r="Q346" s="306"/>
      <c r="R346" s="306"/>
      <c r="S346" s="306"/>
      <c r="T346" s="306"/>
      <c r="U346" s="306"/>
      <c r="V346" s="306"/>
      <c r="W346" s="306"/>
      <c r="X346" s="306"/>
      <c r="Y346" s="306"/>
      <c r="Z346" s="306"/>
    </row>
    <row r="347" spans="1:26" x14ac:dyDescent="0.35">
      <c r="A347" s="306"/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N347" s="306"/>
      <c r="O347" s="306"/>
      <c r="P347" s="306"/>
      <c r="Q347" s="306"/>
      <c r="R347" s="306"/>
      <c r="S347" s="306"/>
      <c r="T347" s="306"/>
      <c r="U347" s="306"/>
      <c r="V347" s="306"/>
      <c r="W347" s="306"/>
      <c r="X347" s="306"/>
      <c r="Y347" s="306"/>
      <c r="Z347" s="306"/>
    </row>
    <row r="348" spans="1:26" x14ac:dyDescent="0.35">
      <c r="A348" s="306"/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N348" s="306"/>
      <c r="O348" s="306"/>
      <c r="P348" s="306"/>
      <c r="Q348" s="306"/>
      <c r="R348" s="306"/>
      <c r="S348" s="306"/>
      <c r="T348" s="306"/>
      <c r="U348" s="306"/>
      <c r="V348" s="306"/>
      <c r="W348" s="306"/>
      <c r="X348" s="306"/>
      <c r="Y348" s="306"/>
      <c r="Z348" s="306"/>
    </row>
    <row r="349" spans="1:26" x14ac:dyDescent="0.35">
      <c r="A349" s="306"/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N349" s="306"/>
      <c r="O349" s="306"/>
      <c r="P349" s="306"/>
      <c r="Q349" s="306"/>
      <c r="R349" s="306"/>
      <c r="S349" s="306"/>
      <c r="T349" s="306"/>
      <c r="U349" s="306"/>
      <c r="V349" s="306"/>
      <c r="W349" s="306"/>
      <c r="X349" s="306"/>
      <c r="Y349" s="306"/>
      <c r="Z349" s="306"/>
    </row>
    <row r="350" spans="1:26" x14ac:dyDescent="0.35">
      <c r="A350" s="306"/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N350" s="306"/>
      <c r="O350" s="306"/>
      <c r="P350" s="306"/>
      <c r="Q350" s="306"/>
      <c r="R350" s="306"/>
      <c r="S350" s="306"/>
      <c r="T350" s="306"/>
      <c r="U350" s="306"/>
      <c r="V350" s="306"/>
      <c r="W350" s="306"/>
      <c r="X350" s="306"/>
      <c r="Y350" s="306"/>
      <c r="Z350" s="306"/>
    </row>
    <row r="351" spans="1:26" x14ac:dyDescent="0.35">
      <c r="A351" s="306"/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N351" s="306"/>
      <c r="O351" s="306"/>
      <c r="P351" s="306"/>
      <c r="Q351" s="306"/>
      <c r="R351" s="306"/>
      <c r="S351" s="306"/>
      <c r="T351" s="306"/>
      <c r="U351" s="306"/>
      <c r="V351" s="306"/>
      <c r="W351" s="306"/>
      <c r="X351" s="306"/>
      <c r="Y351" s="306"/>
      <c r="Z351" s="306"/>
    </row>
    <row r="352" spans="1:26" x14ac:dyDescent="0.35">
      <c r="A352" s="306"/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N352" s="306"/>
      <c r="O352" s="306"/>
      <c r="P352" s="306"/>
      <c r="Q352" s="306"/>
      <c r="R352" s="306"/>
      <c r="S352" s="306"/>
      <c r="T352" s="306"/>
      <c r="U352" s="306"/>
      <c r="V352" s="306"/>
      <c r="W352" s="306"/>
      <c r="X352" s="306"/>
      <c r="Y352" s="306"/>
      <c r="Z352" s="306"/>
    </row>
    <row r="353" spans="1:26" x14ac:dyDescent="0.35">
      <c r="A353" s="306"/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N353" s="306"/>
      <c r="O353" s="306"/>
      <c r="P353" s="306"/>
      <c r="Q353" s="306"/>
      <c r="R353" s="306"/>
      <c r="S353" s="306"/>
      <c r="T353" s="306"/>
      <c r="U353" s="306"/>
      <c r="V353" s="306"/>
      <c r="W353" s="306"/>
      <c r="X353" s="306"/>
      <c r="Y353" s="306"/>
      <c r="Z353" s="306"/>
    </row>
    <row r="354" spans="1:26" x14ac:dyDescent="0.35">
      <c r="A354" s="306"/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N354" s="306"/>
      <c r="O354" s="306"/>
      <c r="P354" s="306"/>
      <c r="Q354" s="306"/>
      <c r="R354" s="306"/>
      <c r="S354" s="306"/>
      <c r="T354" s="306"/>
      <c r="U354" s="306"/>
      <c r="V354" s="306"/>
      <c r="W354" s="306"/>
      <c r="X354" s="306"/>
      <c r="Y354" s="306"/>
      <c r="Z354" s="306"/>
    </row>
    <row r="355" spans="1:26" x14ac:dyDescent="0.35">
      <c r="A355" s="306"/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N355" s="306"/>
      <c r="O355" s="306"/>
      <c r="P355" s="306"/>
      <c r="Q355" s="306"/>
      <c r="R355" s="306"/>
      <c r="S355" s="306"/>
      <c r="T355" s="306"/>
      <c r="U355" s="306"/>
      <c r="V355" s="306"/>
      <c r="W355" s="306"/>
      <c r="X355" s="306"/>
      <c r="Y355" s="306"/>
      <c r="Z355" s="306"/>
    </row>
    <row r="356" spans="1:26" x14ac:dyDescent="0.35">
      <c r="A356" s="306"/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N356" s="306"/>
      <c r="O356" s="306"/>
      <c r="P356" s="306"/>
      <c r="Q356" s="306"/>
      <c r="R356" s="306"/>
      <c r="S356" s="306"/>
      <c r="T356" s="306"/>
      <c r="U356" s="306"/>
      <c r="V356" s="306"/>
      <c r="W356" s="306"/>
      <c r="X356" s="306"/>
      <c r="Y356" s="306"/>
      <c r="Z356" s="306"/>
    </row>
    <row r="357" spans="1:26" x14ac:dyDescent="0.35">
      <c r="A357" s="306"/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N357" s="306"/>
      <c r="O357" s="306"/>
      <c r="P357" s="306"/>
      <c r="Q357" s="306"/>
      <c r="R357" s="306"/>
      <c r="S357" s="306"/>
      <c r="T357" s="306"/>
      <c r="U357" s="306"/>
      <c r="V357" s="306"/>
      <c r="W357" s="306"/>
      <c r="X357" s="306"/>
      <c r="Y357" s="306"/>
      <c r="Z357" s="306"/>
    </row>
    <row r="358" spans="1:26" x14ac:dyDescent="0.35">
      <c r="A358" s="306"/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N358" s="306"/>
      <c r="O358" s="306"/>
      <c r="P358" s="306"/>
      <c r="Q358" s="306"/>
      <c r="R358" s="306"/>
      <c r="S358" s="306"/>
      <c r="T358" s="306"/>
      <c r="U358" s="306"/>
      <c r="V358" s="306"/>
      <c r="W358" s="306"/>
      <c r="X358" s="306"/>
      <c r="Y358" s="306"/>
      <c r="Z358" s="306"/>
    </row>
    <row r="359" spans="1:26" x14ac:dyDescent="0.35">
      <c r="A359" s="306"/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N359" s="306"/>
      <c r="O359" s="306"/>
      <c r="P359" s="306"/>
      <c r="Q359" s="306"/>
      <c r="R359" s="306"/>
      <c r="S359" s="306"/>
      <c r="T359" s="306"/>
      <c r="U359" s="306"/>
      <c r="V359" s="306"/>
      <c r="W359" s="306"/>
      <c r="X359" s="306"/>
      <c r="Y359" s="306"/>
      <c r="Z359" s="306"/>
    </row>
    <row r="360" spans="1:26" x14ac:dyDescent="0.35">
      <c r="A360" s="306"/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N360" s="306"/>
      <c r="O360" s="306"/>
      <c r="P360" s="306"/>
      <c r="Q360" s="306"/>
      <c r="R360" s="306"/>
      <c r="S360" s="306"/>
      <c r="T360" s="306"/>
      <c r="U360" s="306"/>
      <c r="V360" s="306"/>
      <c r="W360" s="306"/>
      <c r="X360" s="306"/>
      <c r="Y360" s="306"/>
      <c r="Z360" s="306"/>
    </row>
    <row r="361" spans="1:26" x14ac:dyDescent="0.35">
      <c r="A361" s="306"/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N361" s="306"/>
      <c r="O361" s="306"/>
      <c r="P361" s="306"/>
      <c r="Q361" s="306"/>
      <c r="R361" s="306"/>
      <c r="S361" s="306"/>
      <c r="T361" s="306"/>
      <c r="U361" s="306"/>
      <c r="V361" s="306"/>
      <c r="W361" s="306"/>
      <c r="X361" s="306"/>
      <c r="Y361" s="306"/>
      <c r="Z361" s="306"/>
    </row>
    <row r="362" spans="1:26" x14ac:dyDescent="0.35">
      <c r="A362" s="306"/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N362" s="306"/>
      <c r="O362" s="306"/>
      <c r="P362" s="306"/>
      <c r="Q362" s="306"/>
      <c r="R362" s="306"/>
      <c r="S362" s="306"/>
      <c r="T362" s="306"/>
      <c r="U362" s="306"/>
      <c r="V362" s="306"/>
      <c r="W362" s="306"/>
      <c r="X362" s="306"/>
      <c r="Y362" s="306"/>
      <c r="Z362" s="306"/>
    </row>
    <row r="363" spans="1:26" x14ac:dyDescent="0.35">
      <c r="A363" s="306"/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N363" s="306"/>
      <c r="O363" s="306"/>
      <c r="P363" s="306"/>
      <c r="Q363" s="306"/>
      <c r="R363" s="306"/>
      <c r="S363" s="306"/>
      <c r="T363" s="306"/>
      <c r="U363" s="306"/>
      <c r="V363" s="306"/>
      <c r="W363" s="306"/>
      <c r="X363" s="306"/>
      <c r="Y363" s="306"/>
      <c r="Z363" s="306"/>
    </row>
    <row r="364" spans="1:26" x14ac:dyDescent="0.35">
      <c r="A364" s="306"/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N364" s="306"/>
      <c r="O364" s="306"/>
      <c r="P364" s="306"/>
      <c r="Q364" s="306"/>
      <c r="R364" s="306"/>
      <c r="S364" s="306"/>
      <c r="T364" s="306"/>
      <c r="U364" s="306"/>
      <c r="V364" s="306"/>
      <c r="W364" s="306"/>
      <c r="X364" s="306"/>
      <c r="Y364" s="306"/>
      <c r="Z364" s="306"/>
    </row>
    <row r="365" spans="1:26" x14ac:dyDescent="0.35">
      <c r="A365" s="306"/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N365" s="306"/>
      <c r="O365" s="306"/>
      <c r="P365" s="306"/>
      <c r="Q365" s="306"/>
      <c r="R365" s="306"/>
      <c r="S365" s="306"/>
      <c r="T365" s="306"/>
      <c r="U365" s="306"/>
      <c r="V365" s="306"/>
      <c r="W365" s="306"/>
      <c r="X365" s="306"/>
      <c r="Y365" s="306"/>
      <c r="Z365" s="306"/>
    </row>
    <row r="366" spans="1:26" x14ac:dyDescent="0.35">
      <c r="A366" s="306"/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N366" s="306"/>
      <c r="O366" s="306"/>
      <c r="P366" s="306"/>
      <c r="Q366" s="306"/>
      <c r="R366" s="306"/>
      <c r="S366" s="306"/>
      <c r="T366" s="306"/>
      <c r="U366" s="306"/>
      <c r="V366" s="306"/>
      <c r="W366" s="306"/>
      <c r="X366" s="306"/>
      <c r="Y366" s="306"/>
      <c r="Z366" s="306"/>
    </row>
    <row r="367" spans="1:26" x14ac:dyDescent="0.35">
      <c r="A367" s="306"/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N367" s="306"/>
      <c r="O367" s="306"/>
      <c r="P367" s="306"/>
      <c r="Q367" s="306"/>
      <c r="R367" s="306"/>
      <c r="S367" s="306"/>
      <c r="T367" s="306"/>
      <c r="U367" s="306"/>
      <c r="V367" s="306"/>
      <c r="W367" s="306"/>
      <c r="X367" s="306"/>
      <c r="Y367" s="306"/>
      <c r="Z367" s="306"/>
    </row>
    <row r="368" spans="1:26" x14ac:dyDescent="0.35">
      <c r="A368" s="306"/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6"/>
      <c r="O368" s="306"/>
      <c r="P368" s="306"/>
      <c r="Q368" s="306"/>
      <c r="R368" s="306"/>
      <c r="S368" s="306"/>
      <c r="T368" s="306"/>
      <c r="U368" s="306"/>
      <c r="V368" s="306"/>
      <c r="W368" s="306"/>
      <c r="X368" s="306"/>
      <c r="Y368" s="306"/>
      <c r="Z368" s="306"/>
    </row>
    <row r="369" spans="1:26" x14ac:dyDescent="0.35">
      <c r="A369" s="306"/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N369" s="306"/>
      <c r="O369" s="306"/>
      <c r="P369" s="306"/>
      <c r="Q369" s="306"/>
      <c r="R369" s="306"/>
      <c r="S369" s="306"/>
      <c r="T369" s="306"/>
      <c r="U369" s="306"/>
      <c r="V369" s="306"/>
      <c r="W369" s="306"/>
      <c r="X369" s="306"/>
      <c r="Y369" s="306"/>
      <c r="Z369" s="306"/>
    </row>
    <row r="370" spans="1:26" x14ac:dyDescent="0.35">
      <c r="A370" s="306"/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N370" s="306"/>
      <c r="O370" s="306"/>
      <c r="P370" s="306"/>
      <c r="Q370" s="306"/>
      <c r="R370" s="306"/>
      <c r="S370" s="306"/>
      <c r="T370" s="306"/>
      <c r="U370" s="306"/>
      <c r="V370" s="306"/>
      <c r="W370" s="306"/>
      <c r="X370" s="306"/>
      <c r="Y370" s="306"/>
      <c r="Z370" s="306"/>
    </row>
    <row r="371" spans="1:26" x14ac:dyDescent="0.35">
      <c r="A371" s="306"/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N371" s="306"/>
      <c r="O371" s="306"/>
      <c r="P371" s="306"/>
      <c r="Q371" s="306"/>
      <c r="R371" s="306"/>
      <c r="S371" s="306"/>
      <c r="T371" s="306"/>
      <c r="U371" s="306"/>
      <c r="V371" s="306"/>
      <c r="W371" s="306"/>
      <c r="X371" s="306"/>
      <c r="Y371" s="306"/>
      <c r="Z371" s="306"/>
    </row>
    <row r="372" spans="1:26" x14ac:dyDescent="0.35">
      <c r="A372" s="306"/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N372" s="306"/>
      <c r="O372" s="306"/>
      <c r="P372" s="306"/>
      <c r="Q372" s="306"/>
      <c r="R372" s="306"/>
      <c r="S372" s="306"/>
      <c r="T372" s="306"/>
      <c r="U372" s="306"/>
      <c r="V372" s="306"/>
      <c r="W372" s="306"/>
      <c r="X372" s="306"/>
      <c r="Y372" s="306"/>
      <c r="Z372" s="306"/>
    </row>
    <row r="373" spans="1:26" x14ac:dyDescent="0.35">
      <c r="A373" s="306"/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N373" s="306"/>
      <c r="O373" s="306"/>
      <c r="P373" s="306"/>
      <c r="Q373" s="306"/>
      <c r="R373" s="306"/>
      <c r="S373" s="306"/>
      <c r="T373" s="306"/>
      <c r="U373" s="306"/>
      <c r="V373" s="306"/>
      <c r="W373" s="306"/>
      <c r="X373" s="306"/>
      <c r="Y373" s="306"/>
      <c r="Z373" s="306"/>
    </row>
    <row r="374" spans="1:26" x14ac:dyDescent="0.35">
      <c r="A374" s="306"/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N374" s="306"/>
      <c r="O374" s="306"/>
      <c r="P374" s="306"/>
      <c r="Q374" s="306"/>
      <c r="R374" s="306"/>
      <c r="S374" s="306"/>
      <c r="T374" s="306"/>
      <c r="U374" s="306"/>
      <c r="V374" s="306"/>
      <c r="W374" s="306"/>
      <c r="X374" s="306"/>
      <c r="Y374" s="306"/>
      <c r="Z374" s="306"/>
    </row>
    <row r="375" spans="1:26" x14ac:dyDescent="0.35">
      <c r="A375" s="306"/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N375" s="306"/>
      <c r="O375" s="306"/>
      <c r="P375" s="306"/>
      <c r="Q375" s="306"/>
      <c r="R375" s="306"/>
      <c r="S375" s="306"/>
      <c r="T375" s="306"/>
      <c r="U375" s="306"/>
      <c r="V375" s="306"/>
      <c r="W375" s="306"/>
      <c r="X375" s="306"/>
      <c r="Y375" s="306"/>
      <c r="Z375" s="306"/>
    </row>
    <row r="376" spans="1:26" x14ac:dyDescent="0.35">
      <c r="A376" s="306"/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N376" s="306"/>
      <c r="O376" s="306"/>
      <c r="P376" s="306"/>
      <c r="Q376" s="306"/>
      <c r="R376" s="306"/>
      <c r="S376" s="306"/>
      <c r="T376" s="306"/>
      <c r="U376" s="306"/>
      <c r="V376" s="306"/>
      <c r="W376" s="306"/>
      <c r="X376" s="306"/>
      <c r="Y376" s="306"/>
      <c r="Z376" s="306"/>
    </row>
    <row r="377" spans="1:26" x14ac:dyDescent="0.35">
      <c r="A377" s="306"/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N377" s="306"/>
      <c r="O377" s="306"/>
      <c r="P377" s="306"/>
      <c r="Q377" s="306"/>
      <c r="R377" s="306"/>
      <c r="S377" s="306"/>
      <c r="T377" s="306"/>
      <c r="U377" s="306"/>
      <c r="V377" s="306"/>
      <c r="W377" s="306"/>
      <c r="X377" s="306"/>
      <c r="Y377" s="306"/>
      <c r="Z377" s="306"/>
    </row>
    <row r="378" spans="1:26" x14ac:dyDescent="0.35">
      <c r="A378" s="306"/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N378" s="306"/>
      <c r="O378" s="306"/>
      <c r="P378" s="306"/>
      <c r="Q378" s="306"/>
      <c r="R378" s="306"/>
      <c r="S378" s="306"/>
      <c r="T378" s="306"/>
      <c r="U378" s="306"/>
      <c r="V378" s="306"/>
      <c r="W378" s="306"/>
      <c r="X378" s="306"/>
      <c r="Y378" s="306"/>
      <c r="Z378" s="306"/>
    </row>
    <row r="379" spans="1:26" x14ac:dyDescent="0.35">
      <c r="A379" s="306"/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N379" s="306"/>
      <c r="O379" s="306"/>
      <c r="P379" s="306"/>
      <c r="Q379" s="306"/>
      <c r="R379" s="306"/>
      <c r="S379" s="306"/>
      <c r="T379" s="306"/>
      <c r="U379" s="306"/>
      <c r="V379" s="306"/>
      <c r="W379" s="306"/>
      <c r="X379" s="306"/>
      <c r="Y379" s="306"/>
      <c r="Z379" s="306"/>
    </row>
    <row r="380" spans="1:26" x14ac:dyDescent="0.35">
      <c r="A380" s="306"/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N380" s="306"/>
      <c r="O380" s="306"/>
      <c r="P380" s="306"/>
      <c r="Q380" s="306"/>
      <c r="R380" s="306"/>
      <c r="S380" s="306"/>
      <c r="T380" s="306"/>
      <c r="U380" s="306"/>
      <c r="V380" s="306"/>
      <c r="W380" s="306"/>
      <c r="X380" s="306"/>
      <c r="Y380" s="306"/>
      <c r="Z380" s="306"/>
    </row>
    <row r="381" spans="1:26" x14ac:dyDescent="0.35">
      <c r="A381" s="306"/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N381" s="306"/>
      <c r="O381" s="306"/>
      <c r="P381" s="306"/>
      <c r="Q381" s="306"/>
      <c r="R381" s="306"/>
      <c r="S381" s="306"/>
      <c r="T381" s="306"/>
      <c r="U381" s="306"/>
      <c r="V381" s="306"/>
      <c r="W381" s="306"/>
      <c r="X381" s="306"/>
      <c r="Y381" s="306"/>
      <c r="Z381" s="306"/>
    </row>
    <row r="382" spans="1:26" x14ac:dyDescent="0.35">
      <c r="A382" s="306"/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N382" s="306"/>
      <c r="O382" s="306"/>
      <c r="P382" s="306"/>
      <c r="Q382" s="306"/>
      <c r="R382" s="306"/>
      <c r="S382" s="306"/>
      <c r="T382" s="306"/>
      <c r="U382" s="306"/>
      <c r="V382" s="306"/>
      <c r="W382" s="306"/>
      <c r="X382" s="306"/>
      <c r="Y382" s="306"/>
      <c r="Z382" s="306"/>
    </row>
    <row r="383" spans="1:26" x14ac:dyDescent="0.35">
      <c r="A383" s="306"/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N383" s="306"/>
      <c r="O383" s="306"/>
      <c r="P383" s="306"/>
      <c r="Q383" s="306"/>
      <c r="R383" s="306"/>
      <c r="S383" s="306"/>
      <c r="T383" s="306"/>
      <c r="U383" s="306"/>
      <c r="V383" s="306"/>
      <c r="W383" s="306"/>
      <c r="X383" s="306"/>
      <c r="Y383" s="306"/>
      <c r="Z383" s="306"/>
    </row>
    <row r="384" spans="1:26" x14ac:dyDescent="0.35">
      <c r="A384" s="306"/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N384" s="306"/>
      <c r="O384" s="306"/>
      <c r="P384" s="306"/>
      <c r="Q384" s="306"/>
      <c r="R384" s="306"/>
      <c r="S384" s="306"/>
      <c r="T384" s="306"/>
      <c r="U384" s="306"/>
      <c r="V384" s="306"/>
      <c r="W384" s="306"/>
      <c r="X384" s="306"/>
      <c r="Y384" s="306"/>
      <c r="Z384" s="306"/>
    </row>
    <row r="385" spans="1:26" x14ac:dyDescent="0.35">
      <c r="A385" s="306"/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N385" s="306"/>
      <c r="O385" s="306"/>
      <c r="P385" s="306"/>
      <c r="Q385" s="306"/>
      <c r="R385" s="306"/>
      <c r="S385" s="306"/>
      <c r="T385" s="306"/>
      <c r="U385" s="306"/>
      <c r="V385" s="306"/>
      <c r="W385" s="306"/>
      <c r="X385" s="306"/>
      <c r="Y385" s="306"/>
      <c r="Z385" s="306"/>
    </row>
    <row r="386" spans="1:26" x14ac:dyDescent="0.35">
      <c r="A386" s="306"/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N386" s="306"/>
      <c r="O386" s="306"/>
      <c r="P386" s="306"/>
      <c r="Q386" s="306"/>
      <c r="R386" s="306"/>
      <c r="S386" s="306"/>
      <c r="T386" s="306"/>
      <c r="U386" s="306"/>
      <c r="V386" s="306"/>
      <c r="W386" s="306"/>
      <c r="X386" s="306"/>
      <c r="Y386" s="306"/>
      <c r="Z386" s="306"/>
    </row>
    <row r="387" spans="1:26" x14ac:dyDescent="0.35">
      <c r="A387" s="306"/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N387" s="306"/>
      <c r="O387" s="306"/>
      <c r="P387" s="306"/>
      <c r="Q387" s="306"/>
      <c r="R387" s="306"/>
      <c r="S387" s="306"/>
      <c r="T387" s="306"/>
      <c r="U387" s="306"/>
      <c r="V387" s="306"/>
      <c r="W387" s="306"/>
      <c r="X387" s="306"/>
      <c r="Y387" s="306"/>
      <c r="Z387" s="306"/>
    </row>
    <row r="388" spans="1:26" x14ac:dyDescent="0.35">
      <c r="A388" s="306"/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N388" s="306"/>
      <c r="O388" s="306"/>
      <c r="P388" s="306"/>
      <c r="Q388" s="306"/>
      <c r="R388" s="306"/>
      <c r="S388" s="306"/>
      <c r="T388" s="306"/>
      <c r="U388" s="306"/>
      <c r="V388" s="306"/>
      <c r="W388" s="306"/>
      <c r="X388" s="306"/>
      <c r="Y388" s="306"/>
      <c r="Z388" s="306"/>
    </row>
    <row r="389" spans="1:26" x14ac:dyDescent="0.35">
      <c r="A389" s="306"/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N389" s="306"/>
      <c r="O389" s="306"/>
      <c r="P389" s="306"/>
      <c r="Q389" s="306"/>
      <c r="R389" s="306"/>
      <c r="S389" s="306"/>
      <c r="T389" s="306"/>
      <c r="U389" s="306"/>
      <c r="V389" s="306"/>
      <c r="W389" s="306"/>
      <c r="X389" s="306"/>
      <c r="Y389" s="306"/>
      <c r="Z389" s="306"/>
    </row>
    <row r="390" spans="1:26" x14ac:dyDescent="0.35">
      <c r="A390" s="306"/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N390" s="306"/>
      <c r="O390" s="306"/>
      <c r="P390" s="306"/>
      <c r="Q390" s="306"/>
      <c r="R390" s="306"/>
      <c r="S390" s="306"/>
      <c r="T390" s="306"/>
      <c r="U390" s="306"/>
      <c r="V390" s="306"/>
      <c r="W390" s="306"/>
      <c r="X390" s="306"/>
      <c r="Y390" s="306"/>
      <c r="Z390" s="306"/>
    </row>
    <row r="391" spans="1:26" x14ac:dyDescent="0.35">
      <c r="A391" s="306"/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N391" s="306"/>
      <c r="O391" s="306"/>
      <c r="P391" s="306"/>
      <c r="Q391" s="306"/>
      <c r="R391" s="306"/>
      <c r="S391" s="306"/>
      <c r="T391" s="306"/>
      <c r="U391" s="306"/>
      <c r="V391" s="306"/>
      <c r="W391" s="306"/>
      <c r="X391" s="306"/>
      <c r="Y391" s="306"/>
      <c r="Z391" s="306"/>
    </row>
    <row r="392" spans="1:26" x14ac:dyDescent="0.35">
      <c r="A392" s="306"/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N392" s="306"/>
      <c r="O392" s="306"/>
      <c r="P392" s="306"/>
      <c r="Q392" s="306"/>
      <c r="R392" s="306"/>
      <c r="S392" s="306"/>
      <c r="T392" s="306"/>
      <c r="U392" s="306"/>
      <c r="V392" s="306"/>
      <c r="W392" s="306"/>
      <c r="X392" s="306"/>
      <c r="Y392" s="306"/>
      <c r="Z392" s="306"/>
    </row>
    <row r="393" spans="1:26" x14ac:dyDescent="0.35">
      <c r="A393" s="306"/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N393" s="306"/>
      <c r="O393" s="306"/>
      <c r="P393" s="306"/>
      <c r="Q393" s="306"/>
      <c r="R393" s="306"/>
      <c r="S393" s="306"/>
      <c r="T393" s="306"/>
      <c r="U393" s="306"/>
      <c r="V393" s="306"/>
      <c r="W393" s="306"/>
      <c r="X393" s="306"/>
      <c r="Y393" s="306"/>
      <c r="Z393" s="306"/>
    </row>
    <row r="394" spans="1:26" x14ac:dyDescent="0.35">
      <c r="A394" s="306"/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N394" s="306"/>
      <c r="O394" s="306"/>
      <c r="P394" s="306"/>
      <c r="Q394" s="306"/>
      <c r="R394" s="306"/>
      <c r="S394" s="306"/>
      <c r="T394" s="306"/>
      <c r="U394" s="306"/>
      <c r="V394" s="306"/>
      <c r="W394" s="306"/>
      <c r="X394" s="306"/>
      <c r="Y394" s="306"/>
      <c r="Z394" s="306"/>
    </row>
    <row r="395" spans="1:26" x14ac:dyDescent="0.35">
      <c r="A395" s="306"/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N395" s="306"/>
      <c r="O395" s="306"/>
      <c r="P395" s="306"/>
      <c r="Q395" s="306"/>
      <c r="R395" s="306"/>
      <c r="S395" s="306"/>
      <c r="T395" s="306"/>
      <c r="U395" s="306"/>
      <c r="V395" s="306"/>
      <c r="W395" s="306"/>
      <c r="X395" s="306"/>
      <c r="Y395" s="306"/>
      <c r="Z395" s="306"/>
    </row>
    <row r="396" spans="1:26" x14ac:dyDescent="0.35">
      <c r="A396" s="306"/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N396" s="306"/>
      <c r="O396" s="306"/>
      <c r="P396" s="306"/>
      <c r="Q396" s="306"/>
      <c r="R396" s="306"/>
      <c r="S396" s="306"/>
      <c r="T396" s="306"/>
      <c r="U396" s="306"/>
      <c r="V396" s="306"/>
      <c r="W396" s="306"/>
      <c r="X396" s="306"/>
      <c r="Y396" s="306"/>
      <c r="Z396" s="306"/>
    </row>
    <row r="397" spans="1:26" x14ac:dyDescent="0.35">
      <c r="A397" s="306"/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N397" s="306"/>
      <c r="O397" s="306"/>
      <c r="P397" s="306"/>
      <c r="Q397" s="306"/>
      <c r="R397" s="306"/>
      <c r="S397" s="306"/>
      <c r="T397" s="306"/>
      <c r="U397" s="306"/>
      <c r="V397" s="306"/>
      <c r="W397" s="306"/>
      <c r="X397" s="306"/>
      <c r="Y397" s="306"/>
      <c r="Z397" s="306"/>
    </row>
    <row r="398" spans="1:26" x14ac:dyDescent="0.35">
      <c r="A398" s="306"/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N398" s="306"/>
      <c r="O398" s="306"/>
      <c r="P398" s="306"/>
      <c r="Q398" s="306"/>
      <c r="R398" s="306"/>
      <c r="S398" s="306"/>
      <c r="T398" s="306"/>
      <c r="U398" s="306"/>
      <c r="V398" s="306"/>
      <c r="W398" s="306"/>
      <c r="X398" s="306"/>
      <c r="Y398" s="306"/>
      <c r="Z398" s="306"/>
    </row>
    <row r="399" spans="1:26" x14ac:dyDescent="0.35">
      <c r="A399" s="306"/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N399" s="306"/>
      <c r="O399" s="306"/>
      <c r="P399" s="306"/>
      <c r="Q399" s="306"/>
      <c r="R399" s="306"/>
      <c r="S399" s="306"/>
      <c r="T399" s="306"/>
      <c r="U399" s="306"/>
      <c r="V399" s="306"/>
      <c r="W399" s="306"/>
      <c r="X399" s="306"/>
      <c r="Y399" s="306"/>
      <c r="Z399" s="306"/>
    </row>
    <row r="400" spans="1:26" x14ac:dyDescent="0.35">
      <c r="A400" s="306"/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N400" s="306"/>
      <c r="O400" s="306"/>
      <c r="P400" s="306"/>
      <c r="Q400" s="306"/>
      <c r="R400" s="306"/>
      <c r="S400" s="306"/>
      <c r="T400" s="306"/>
      <c r="U400" s="306"/>
      <c r="V400" s="306"/>
      <c r="W400" s="306"/>
      <c r="X400" s="306"/>
      <c r="Y400" s="306"/>
      <c r="Z400" s="306"/>
    </row>
    <row r="401" spans="1:26" x14ac:dyDescent="0.35">
      <c r="A401" s="306"/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N401" s="306"/>
      <c r="O401" s="306"/>
      <c r="P401" s="306"/>
      <c r="Q401" s="306"/>
      <c r="R401" s="306"/>
      <c r="S401" s="306"/>
      <c r="T401" s="306"/>
      <c r="U401" s="306"/>
      <c r="V401" s="306"/>
      <c r="W401" s="306"/>
      <c r="X401" s="306"/>
      <c r="Y401" s="306"/>
      <c r="Z401" s="306"/>
    </row>
    <row r="402" spans="1:26" x14ac:dyDescent="0.35">
      <c r="A402" s="306"/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N402" s="306"/>
      <c r="O402" s="306"/>
      <c r="P402" s="306"/>
      <c r="Q402" s="306"/>
      <c r="R402" s="306"/>
      <c r="S402" s="306"/>
      <c r="T402" s="306"/>
      <c r="U402" s="306"/>
      <c r="V402" s="306"/>
      <c r="W402" s="306"/>
      <c r="X402" s="306"/>
      <c r="Y402" s="306"/>
      <c r="Z402" s="306"/>
    </row>
    <row r="403" spans="1:26" x14ac:dyDescent="0.35">
      <c r="A403" s="306"/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N403" s="306"/>
      <c r="O403" s="306"/>
      <c r="P403" s="306"/>
      <c r="Q403" s="306"/>
      <c r="R403" s="306"/>
      <c r="S403" s="306"/>
      <c r="T403" s="306"/>
      <c r="U403" s="306"/>
      <c r="V403" s="306"/>
      <c r="W403" s="306"/>
      <c r="X403" s="306"/>
      <c r="Y403" s="306"/>
      <c r="Z403" s="306"/>
    </row>
    <row r="404" spans="1:26" x14ac:dyDescent="0.35">
      <c r="A404" s="306"/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N404" s="306"/>
      <c r="O404" s="306"/>
      <c r="P404" s="306"/>
      <c r="Q404" s="306"/>
      <c r="R404" s="306"/>
      <c r="S404" s="306"/>
      <c r="T404" s="306"/>
      <c r="U404" s="306"/>
      <c r="V404" s="306"/>
      <c r="W404" s="306"/>
      <c r="X404" s="306"/>
      <c r="Y404" s="306"/>
      <c r="Z404" s="306"/>
    </row>
    <row r="405" spans="1:26" x14ac:dyDescent="0.35">
      <c r="A405" s="306"/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N405" s="306"/>
      <c r="O405" s="306"/>
      <c r="P405" s="306"/>
      <c r="Q405" s="306"/>
      <c r="R405" s="306"/>
      <c r="S405" s="306"/>
      <c r="T405" s="306"/>
      <c r="U405" s="306"/>
      <c r="V405" s="306"/>
      <c r="W405" s="306"/>
      <c r="X405" s="306"/>
      <c r="Y405" s="306"/>
      <c r="Z405" s="306"/>
    </row>
    <row r="406" spans="1:26" x14ac:dyDescent="0.35">
      <c r="A406" s="306"/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N406" s="306"/>
      <c r="O406" s="306"/>
      <c r="P406" s="306"/>
      <c r="Q406" s="306"/>
      <c r="R406" s="306"/>
      <c r="S406" s="306"/>
      <c r="T406" s="306"/>
      <c r="U406" s="306"/>
      <c r="V406" s="306"/>
      <c r="W406" s="306"/>
      <c r="X406" s="306"/>
      <c r="Y406" s="306"/>
      <c r="Z406" s="306"/>
    </row>
    <row r="407" spans="1:26" x14ac:dyDescent="0.35">
      <c r="A407" s="306"/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N407" s="306"/>
      <c r="O407" s="306"/>
      <c r="P407" s="306"/>
      <c r="Q407" s="306"/>
      <c r="R407" s="306"/>
      <c r="S407" s="306"/>
      <c r="T407" s="306"/>
      <c r="U407" s="306"/>
      <c r="V407" s="306"/>
      <c r="W407" s="306"/>
      <c r="X407" s="306"/>
      <c r="Y407" s="306"/>
      <c r="Z407" s="306"/>
    </row>
    <row r="408" spans="1:26" x14ac:dyDescent="0.35">
      <c r="A408" s="306"/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N408" s="306"/>
      <c r="O408" s="306"/>
      <c r="P408" s="306"/>
      <c r="Q408" s="306"/>
      <c r="R408" s="306"/>
      <c r="S408" s="306"/>
      <c r="T408" s="306"/>
      <c r="U408" s="306"/>
      <c r="V408" s="306"/>
      <c r="W408" s="306"/>
      <c r="X408" s="306"/>
      <c r="Y408" s="306"/>
      <c r="Z408" s="306"/>
    </row>
    <row r="409" spans="1:26" x14ac:dyDescent="0.35">
      <c r="A409" s="306"/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N409" s="306"/>
      <c r="O409" s="306"/>
      <c r="P409" s="306"/>
      <c r="Q409" s="306"/>
      <c r="R409" s="306"/>
      <c r="S409" s="306"/>
      <c r="T409" s="306"/>
      <c r="U409" s="306"/>
      <c r="V409" s="306"/>
      <c r="W409" s="306"/>
      <c r="X409" s="306"/>
      <c r="Y409" s="306"/>
      <c r="Z409" s="306"/>
    </row>
    <row r="410" spans="1:26" x14ac:dyDescent="0.35">
      <c r="A410" s="306"/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N410" s="306"/>
      <c r="O410" s="306"/>
      <c r="P410" s="306"/>
      <c r="Q410" s="306"/>
      <c r="R410" s="306"/>
      <c r="S410" s="306"/>
      <c r="T410" s="306"/>
      <c r="U410" s="306"/>
      <c r="V410" s="306"/>
      <c r="W410" s="306"/>
      <c r="X410" s="306"/>
      <c r="Y410" s="306"/>
      <c r="Z410" s="306"/>
    </row>
    <row r="411" spans="1:26" x14ac:dyDescent="0.35">
      <c r="A411" s="306"/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N411" s="306"/>
      <c r="O411" s="306"/>
      <c r="P411" s="306"/>
      <c r="Q411" s="306"/>
      <c r="R411" s="306"/>
      <c r="S411" s="306"/>
      <c r="T411" s="306"/>
      <c r="U411" s="306"/>
      <c r="V411" s="306"/>
      <c r="W411" s="306"/>
      <c r="X411" s="306"/>
      <c r="Y411" s="306"/>
      <c r="Z411" s="306"/>
    </row>
    <row r="412" spans="1:26" x14ac:dyDescent="0.35">
      <c r="A412" s="306"/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N412" s="306"/>
      <c r="O412" s="306"/>
      <c r="P412" s="306"/>
      <c r="Q412" s="306"/>
      <c r="R412" s="306"/>
      <c r="S412" s="306"/>
      <c r="T412" s="306"/>
      <c r="U412" s="306"/>
      <c r="V412" s="306"/>
      <c r="W412" s="306"/>
      <c r="X412" s="306"/>
      <c r="Y412" s="306"/>
      <c r="Z412" s="306"/>
    </row>
    <row r="413" spans="1:26" x14ac:dyDescent="0.35">
      <c r="A413" s="306"/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N413" s="306"/>
      <c r="O413" s="306"/>
      <c r="P413" s="306"/>
      <c r="Q413" s="306"/>
      <c r="R413" s="306"/>
      <c r="S413" s="306"/>
      <c r="T413" s="306"/>
      <c r="U413" s="306"/>
      <c r="V413" s="306"/>
      <c r="W413" s="306"/>
      <c r="X413" s="306"/>
      <c r="Y413" s="306"/>
      <c r="Z413" s="306"/>
    </row>
    <row r="414" spans="1:26" x14ac:dyDescent="0.35">
      <c r="A414" s="306"/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N414" s="306"/>
      <c r="O414" s="306"/>
      <c r="P414" s="306"/>
      <c r="Q414" s="306"/>
      <c r="R414" s="306"/>
      <c r="S414" s="306"/>
      <c r="T414" s="306"/>
      <c r="U414" s="306"/>
      <c r="V414" s="306"/>
      <c r="W414" s="306"/>
      <c r="X414" s="306"/>
      <c r="Y414" s="306"/>
      <c r="Z414" s="306"/>
    </row>
    <row r="415" spans="1:26" x14ac:dyDescent="0.35">
      <c r="A415" s="306"/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N415" s="306"/>
      <c r="O415" s="306"/>
      <c r="P415" s="306"/>
      <c r="Q415" s="306"/>
      <c r="R415" s="306"/>
      <c r="S415" s="306"/>
      <c r="T415" s="306"/>
      <c r="U415" s="306"/>
      <c r="V415" s="306"/>
      <c r="W415" s="306"/>
      <c r="X415" s="306"/>
      <c r="Y415" s="306"/>
      <c r="Z415" s="306"/>
    </row>
    <row r="416" spans="1:26" x14ac:dyDescent="0.35">
      <c r="A416" s="306"/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N416" s="306"/>
      <c r="O416" s="306"/>
      <c r="P416" s="306"/>
      <c r="Q416" s="306"/>
      <c r="R416" s="306"/>
      <c r="S416" s="306"/>
      <c r="T416" s="306"/>
      <c r="U416" s="306"/>
      <c r="V416" s="306"/>
      <c r="W416" s="306"/>
      <c r="X416" s="306"/>
      <c r="Y416" s="306"/>
      <c r="Z416" s="306"/>
    </row>
    <row r="417" spans="1:26" x14ac:dyDescent="0.35">
      <c r="A417" s="306"/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N417" s="306"/>
      <c r="O417" s="306"/>
      <c r="P417" s="306"/>
      <c r="Q417" s="306"/>
      <c r="R417" s="306"/>
      <c r="S417" s="306"/>
      <c r="T417" s="306"/>
      <c r="U417" s="306"/>
      <c r="V417" s="306"/>
      <c r="W417" s="306"/>
      <c r="X417" s="306"/>
      <c r="Y417" s="306"/>
      <c r="Z417" s="306"/>
    </row>
    <row r="418" spans="1:26" x14ac:dyDescent="0.35">
      <c r="A418" s="306"/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N418" s="306"/>
      <c r="O418" s="306"/>
      <c r="P418" s="306"/>
      <c r="Q418" s="306"/>
      <c r="R418" s="306"/>
      <c r="S418" s="306"/>
      <c r="T418" s="306"/>
      <c r="U418" s="306"/>
      <c r="V418" s="306"/>
      <c r="W418" s="306"/>
      <c r="X418" s="306"/>
      <c r="Y418" s="306"/>
      <c r="Z418" s="306"/>
    </row>
    <row r="419" spans="1:26" x14ac:dyDescent="0.35">
      <c r="A419" s="306"/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N419" s="306"/>
      <c r="O419" s="306"/>
      <c r="P419" s="306"/>
      <c r="Q419" s="306"/>
      <c r="R419" s="306"/>
      <c r="S419" s="306"/>
      <c r="T419" s="306"/>
      <c r="U419" s="306"/>
      <c r="V419" s="306"/>
      <c r="W419" s="306"/>
      <c r="X419" s="306"/>
      <c r="Y419" s="306"/>
      <c r="Z419" s="306"/>
    </row>
    <row r="420" spans="1:26" x14ac:dyDescent="0.35">
      <c r="A420" s="306"/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6"/>
      <c r="O420" s="306"/>
      <c r="P420" s="306"/>
      <c r="Q420" s="306"/>
      <c r="R420" s="306"/>
      <c r="S420" s="306"/>
      <c r="T420" s="306"/>
      <c r="U420" s="306"/>
      <c r="V420" s="306"/>
      <c r="W420" s="306"/>
      <c r="X420" s="306"/>
      <c r="Y420" s="306"/>
      <c r="Z420" s="306"/>
    </row>
    <row r="421" spans="1:26" x14ac:dyDescent="0.35">
      <c r="A421" s="306"/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N421" s="306"/>
      <c r="O421" s="306"/>
      <c r="P421" s="306"/>
      <c r="Q421" s="306"/>
      <c r="R421" s="306"/>
      <c r="S421" s="306"/>
      <c r="T421" s="306"/>
      <c r="U421" s="306"/>
      <c r="V421" s="306"/>
      <c r="W421" s="306"/>
      <c r="X421" s="306"/>
      <c r="Y421" s="306"/>
      <c r="Z421" s="306"/>
    </row>
    <row r="422" spans="1:26" x14ac:dyDescent="0.35">
      <c r="A422" s="306"/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N422" s="306"/>
      <c r="O422" s="306"/>
      <c r="P422" s="306"/>
      <c r="Q422" s="306"/>
      <c r="R422" s="306"/>
      <c r="S422" s="306"/>
      <c r="T422" s="306"/>
      <c r="U422" s="306"/>
      <c r="V422" s="306"/>
      <c r="W422" s="306"/>
      <c r="X422" s="306"/>
      <c r="Y422" s="306"/>
      <c r="Z422" s="306"/>
    </row>
    <row r="423" spans="1:26" x14ac:dyDescent="0.35">
      <c r="A423" s="306"/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N423" s="306"/>
      <c r="O423" s="306"/>
      <c r="P423" s="306"/>
      <c r="Q423" s="306"/>
      <c r="R423" s="306"/>
      <c r="S423" s="306"/>
      <c r="T423" s="306"/>
      <c r="U423" s="306"/>
      <c r="V423" s="306"/>
      <c r="W423" s="306"/>
      <c r="X423" s="306"/>
      <c r="Y423" s="306"/>
      <c r="Z423" s="306"/>
    </row>
    <row r="424" spans="1:26" x14ac:dyDescent="0.35">
      <c r="A424" s="306"/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N424" s="306"/>
      <c r="O424" s="306"/>
      <c r="P424" s="306"/>
      <c r="Q424" s="306"/>
      <c r="R424" s="306"/>
      <c r="S424" s="306"/>
      <c r="T424" s="306"/>
      <c r="U424" s="306"/>
      <c r="V424" s="306"/>
      <c r="W424" s="306"/>
      <c r="X424" s="306"/>
      <c r="Y424" s="306"/>
      <c r="Z424" s="306"/>
    </row>
    <row r="425" spans="1:26" x14ac:dyDescent="0.35">
      <c r="A425" s="306"/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N425" s="306"/>
      <c r="O425" s="306"/>
      <c r="P425" s="306"/>
      <c r="Q425" s="306"/>
      <c r="R425" s="306"/>
      <c r="S425" s="306"/>
      <c r="T425" s="306"/>
      <c r="U425" s="306"/>
      <c r="V425" s="306"/>
      <c r="W425" s="306"/>
      <c r="X425" s="306"/>
      <c r="Y425" s="306"/>
      <c r="Z425" s="306"/>
    </row>
    <row r="426" spans="1:26" x14ac:dyDescent="0.35">
      <c r="A426" s="306"/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N426" s="306"/>
      <c r="O426" s="306"/>
      <c r="P426" s="306"/>
      <c r="Q426" s="306"/>
      <c r="R426" s="306"/>
      <c r="S426" s="306"/>
      <c r="T426" s="306"/>
      <c r="U426" s="306"/>
      <c r="V426" s="306"/>
      <c r="W426" s="306"/>
      <c r="X426" s="306"/>
      <c r="Y426" s="306"/>
      <c r="Z426" s="306"/>
    </row>
    <row r="427" spans="1:26" x14ac:dyDescent="0.35">
      <c r="A427" s="306"/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N427" s="306"/>
      <c r="O427" s="306"/>
      <c r="P427" s="306"/>
      <c r="Q427" s="306"/>
      <c r="R427" s="306"/>
      <c r="S427" s="306"/>
      <c r="T427" s="306"/>
      <c r="U427" s="306"/>
      <c r="V427" s="306"/>
      <c r="W427" s="306"/>
      <c r="X427" s="306"/>
      <c r="Y427" s="306"/>
      <c r="Z427" s="306"/>
    </row>
    <row r="428" spans="1:26" x14ac:dyDescent="0.35">
      <c r="A428" s="306"/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N428" s="306"/>
      <c r="O428" s="306"/>
      <c r="P428" s="306"/>
      <c r="Q428" s="306"/>
      <c r="R428" s="306"/>
      <c r="S428" s="306"/>
      <c r="T428" s="306"/>
      <c r="U428" s="306"/>
      <c r="V428" s="306"/>
      <c r="W428" s="306"/>
      <c r="X428" s="306"/>
      <c r="Y428" s="306"/>
      <c r="Z428" s="306"/>
    </row>
    <row r="429" spans="1:26" x14ac:dyDescent="0.35">
      <c r="A429" s="306"/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N429" s="306"/>
      <c r="O429" s="306"/>
      <c r="P429" s="306"/>
      <c r="Q429" s="306"/>
      <c r="R429" s="306"/>
      <c r="S429" s="306"/>
      <c r="T429" s="306"/>
      <c r="U429" s="306"/>
      <c r="V429" s="306"/>
      <c r="W429" s="306"/>
      <c r="X429" s="306"/>
      <c r="Y429" s="306"/>
      <c r="Z429" s="306"/>
    </row>
    <row r="430" spans="1:26" x14ac:dyDescent="0.35">
      <c r="A430" s="306"/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N430" s="306"/>
      <c r="O430" s="306"/>
      <c r="P430" s="306"/>
      <c r="Q430" s="306"/>
      <c r="R430" s="306"/>
      <c r="S430" s="306"/>
      <c r="T430" s="306"/>
      <c r="U430" s="306"/>
      <c r="V430" s="306"/>
      <c r="W430" s="306"/>
      <c r="X430" s="306"/>
      <c r="Y430" s="306"/>
      <c r="Z430" s="306"/>
    </row>
    <row r="431" spans="1:26" x14ac:dyDescent="0.35">
      <c r="A431" s="306"/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N431" s="306"/>
      <c r="O431" s="306"/>
      <c r="P431" s="306"/>
      <c r="Q431" s="306"/>
      <c r="R431" s="306"/>
      <c r="S431" s="306"/>
      <c r="T431" s="306"/>
      <c r="U431" s="306"/>
      <c r="V431" s="306"/>
      <c r="W431" s="306"/>
      <c r="X431" s="306"/>
      <c r="Y431" s="306"/>
      <c r="Z431" s="306"/>
    </row>
    <row r="432" spans="1:26" x14ac:dyDescent="0.35">
      <c r="A432" s="306"/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N432" s="306"/>
      <c r="O432" s="306"/>
      <c r="P432" s="306"/>
      <c r="Q432" s="306"/>
      <c r="R432" s="306"/>
      <c r="S432" s="306"/>
      <c r="T432" s="306"/>
      <c r="U432" s="306"/>
      <c r="V432" s="306"/>
      <c r="W432" s="306"/>
      <c r="X432" s="306"/>
      <c r="Y432" s="306"/>
      <c r="Z432" s="306"/>
    </row>
    <row r="433" spans="1:26" x14ac:dyDescent="0.35">
      <c r="A433" s="306"/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N433" s="306"/>
      <c r="O433" s="306"/>
      <c r="P433" s="306"/>
      <c r="Q433" s="306"/>
      <c r="R433" s="306"/>
      <c r="S433" s="306"/>
      <c r="T433" s="306"/>
      <c r="U433" s="306"/>
      <c r="V433" s="306"/>
      <c r="W433" s="306"/>
      <c r="X433" s="306"/>
      <c r="Y433" s="306"/>
      <c r="Z433" s="306"/>
    </row>
    <row r="434" spans="1:26" x14ac:dyDescent="0.35">
      <c r="A434" s="306"/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N434" s="306"/>
      <c r="O434" s="306"/>
      <c r="P434" s="306"/>
      <c r="Q434" s="306"/>
      <c r="R434" s="306"/>
      <c r="S434" s="306"/>
      <c r="T434" s="306"/>
      <c r="U434" s="306"/>
      <c r="V434" s="306"/>
      <c r="W434" s="306"/>
      <c r="X434" s="306"/>
      <c r="Y434" s="306"/>
      <c r="Z434" s="306"/>
    </row>
    <row r="435" spans="1:26" x14ac:dyDescent="0.35">
      <c r="A435" s="306"/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N435" s="306"/>
      <c r="O435" s="306"/>
      <c r="P435" s="306"/>
      <c r="Q435" s="306"/>
      <c r="R435" s="306"/>
      <c r="S435" s="306"/>
      <c r="T435" s="306"/>
      <c r="U435" s="306"/>
      <c r="V435" s="306"/>
      <c r="W435" s="306"/>
      <c r="X435" s="306"/>
      <c r="Y435" s="306"/>
      <c r="Z435" s="306"/>
    </row>
    <row r="436" spans="1:26" x14ac:dyDescent="0.35">
      <c r="A436" s="306"/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N436" s="306"/>
      <c r="O436" s="306"/>
      <c r="P436" s="306"/>
      <c r="Q436" s="306"/>
      <c r="R436" s="306"/>
      <c r="S436" s="306"/>
      <c r="T436" s="306"/>
      <c r="U436" s="306"/>
      <c r="V436" s="306"/>
      <c r="W436" s="306"/>
      <c r="X436" s="306"/>
      <c r="Y436" s="306"/>
      <c r="Z436" s="306"/>
    </row>
    <row r="437" spans="1:26" x14ac:dyDescent="0.35">
      <c r="A437" s="306"/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N437" s="306"/>
      <c r="O437" s="306"/>
      <c r="P437" s="306"/>
      <c r="Q437" s="306"/>
      <c r="R437" s="306"/>
      <c r="S437" s="306"/>
      <c r="T437" s="306"/>
      <c r="U437" s="306"/>
      <c r="V437" s="306"/>
      <c r="W437" s="306"/>
      <c r="X437" s="306"/>
      <c r="Y437" s="306"/>
      <c r="Z437" s="306"/>
    </row>
    <row r="438" spans="1:26" x14ac:dyDescent="0.35">
      <c r="A438" s="306"/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N438" s="306"/>
      <c r="O438" s="306"/>
      <c r="P438" s="306"/>
      <c r="Q438" s="306"/>
      <c r="R438" s="306"/>
      <c r="S438" s="306"/>
      <c r="T438" s="306"/>
      <c r="U438" s="306"/>
      <c r="V438" s="306"/>
      <c r="W438" s="306"/>
      <c r="X438" s="306"/>
      <c r="Y438" s="306"/>
      <c r="Z438" s="306"/>
    </row>
    <row r="439" spans="1:26" x14ac:dyDescent="0.35">
      <c r="A439" s="306"/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N439" s="306"/>
      <c r="O439" s="306"/>
      <c r="P439" s="306"/>
      <c r="Q439" s="306"/>
      <c r="R439" s="306"/>
      <c r="S439" s="306"/>
      <c r="T439" s="306"/>
      <c r="U439" s="306"/>
      <c r="V439" s="306"/>
      <c r="W439" s="306"/>
      <c r="X439" s="306"/>
      <c r="Y439" s="306"/>
      <c r="Z439" s="306"/>
    </row>
    <row r="440" spans="1:26" x14ac:dyDescent="0.35">
      <c r="A440" s="306"/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N440" s="306"/>
      <c r="O440" s="306"/>
      <c r="P440" s="306"/>
      <c r="Q440" s="306"/>
      <c r="R440" s="306"/>
      <c r="S440" s="306"/>
      <c r="T440" s="306"/>
      <c r="U440" s="306"/>
      <c r="V440" s="306"/>
      <c r="W440" s="306"/>
      <c r="X440" s="306"/>
      <c r="Y440" s="306"/>
      <c r="Z440" s="306"/>
    </row>
    <row r="441" spans="1:26" x14ac:dyDescent="0.35">
      <c r="A441" s="306"/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N441" s="306"/>
      <c r="O441" s="306"/>
      <c r="P441" s="306"/>
      <c r="Q441" s="306"/>
      <c r="R441" s="306"/>
      <c r="S441" s="306"/>
      <c r="T441" s="306"/>
      <c r="U441" s="306"/>
      <c r="V441" s="306"/>
      <c r="W441" s="306"/>
      <c r="X441" s="306"/>
      <c r="Y441" s="306"/>
      <c r="Z441" s="306"/>
    </row>
    <row r="442" spans="1:26" x14ac:dyDescent="0.35">
      <c r="A442" s="306"/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N442" s="306"/>
      <c r="O442" s="306"/>
      <c r="P442" s="306"/>
      <c r="Q442" s="306"/>
      <c r="R442" s="306"/>
      <c r="S442" s="306"/>
      <c r="T442" s="306"/>
      <c r="U442" s="306"/>
      <c r="V442" s="306"/>
      <c r="W442" s="306"/>
      <c r="X442" s="306"/>
      <c r="Y442" s="306"/>
      <c r="Z442" s="306"/>
    </row>
    <row r="443" spans="1:26" x14ac:dyDescent="0.35">
      <c r="A443" s="306"/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N443" s="306"/>
      <c r="O443" s="306"/>
      <c r="P443" s="306"/>
      <c r="Q443" s="306"/>
      <c r="R443" s="306"/>
      <c r="S443" s="306"/>
      <c r="T443" s="306"/>
      <c r="U443" s="306"/>
      <c r="V443" s="306"/>
      <c r="W443" s="306"/>
      <c r="X443" s="306"/>
      <c r="Y443" s="306"/>
      <c r="Z443" s="306"/>
    </row>
    <row r="444" spans="1:26" x14ac:dyDescent="0.35">
      <c r="A444" s="306"/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N444" s="306"/>
      <c r="O444" s="306"/>
      <c r="P444" s="306"/>
      <c r="Q444" s="306"/>
      <c r="R444" s="306"/>
      <c r="S444" s="306"/>
      <c r="T444" s="306"/>
      <c r="U444" s="306"/>
      <c r="V444" s="306"/>
      <c r="W444" s="306"/>
      <c r="X444" s="306"/>
      <c r="Y444" s="306"/>
      <c r="Z444" s="306"/>
    </row>
    <row r="445" spans="1:26" x14ac:dyDescent="0.35">
      <c r="A445" s="306"/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N445" s="306"/>
      <c r="O445" s="306"/>
      <c r="P445" s="306"/>
      <c r="Q445" s="306"/>
      <c r="R445" s="306"/>
      <c r="S445" s="306"/>
      <c r="T445" s="306"/>
      <c r="U445" s="306"/>
      <c r="V445" s="306"/>
      <c r="W445" s="306"/>
      <c r="X445" s="306"/>
      <c r="Y445" s="306"/>
      <c r="Z445" s="306"/>
    </row>
    <row r="446" spans="1:26" x14ac:dyDescent="0.35">
      <c r="A446" s="306"/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N446" s="306"/>
      <c r="O446" s="306"/>
      <c r="P446" s="306"/>
      <c r="Q446" s="306"/>
      <c r="R446" s="306"/>
      <c r="S446" s="306"/>
      <c r="T446" s="306"/>
      <c r="U446" s="306"/>
      <c r="V446" s="306"/>
      <c r="W446" s="306"/>
      <c r="X446" s="306"/>
      <c r="Y446" s="306"/>
      <c r="Z446" s="306"/>
    </row>
    <row r="447" spans="1:26" x14ac:dyDescent="0.35">
      <c r="A447" s="306"/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N447" s="306"/>
      <c r="O447" s="306"/>
      <c r="P447" s="306"/>
      <c r="Q447" s="306"/>
      <c r="R447" s="306"/>
      <c r="S447" s="306"/>
      <c r="T447" s="306"/>
      <c r="U447" s="306"/>
      <c r="V447" s="306"/>
      <c r="W447" s="306"/>
      <c r="X447" s="306"/>
      <c r="Y447" s="306"/>
      <c r="Z447" s="306"/>
    </row>
    <row r="448" spans="1:26" x14ac:dyDescent="0.35">
      <c r="A448" s="306"/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N448" s="306"/>
      <c r="O448" s="306"/>
      <c r="P448" s="306"/>
      <c r="Q448" s="306"/>
      <c r="R448" s="306"/>
      <c r="S448" s="306"/>
      <c r="T448" s="306"/>
      <c r="U448" s="306"/>
      <c r="V448" s="306"/>
      <c r="W448" s="306"/>
      <c r="X448" s="306"/>
      <c r="Y448" s="306"/>
      <c r="Z448" s="306"/>
    </row>
    <row r="449" spans="1:26" x14ac:dyDescent="0.35">
      <c r="A449" s="306"/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N449" s="306"/>
      <c r="O449" s="306"/>
      <c r="P449" s="306"/>
      <c r="Q449" s="306"/>
      <c r="R449" s="306"/>
      <c r="S449" s="306"/>
      <c r="T449" s="306"/>
      <c r="U449" s="306"/>
      <c r="V449" s="306"/>
      <c r="W449" s="306"/>
      <c r="X449" s="306"/>
      <c r="Y449" s="306"/>
      <c r="Z449" s="306"/>
    </row>
    <row r="450" spans="1:26" x14ac:dyDescent="0.35">
      <c r="A450" s="306"/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N450" s="306"/>
      <c r="O450" s="306"/>
      <c r="P450" s="306"/>
      <c r="Q450" s="306"/>
      <c r="R450" s="306"/>
      <c r="S450" s="306"/>
      <c r="T450" s="306"/>
      <c r="U450" s="306"/>
      <c r="V450" s="306"/>
      <c r="W450" s="306"/>
      <c r="X450" s="306"/>
      <c r="Y450" s="306"/>
      <c r="Z450" s="306"/>
    </row>
    <row r="451" spans="1:26" x14ac:dyDescent="0.35">
      <c r="A451" s="306"/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N451" s="306"/>
      <c r="O451" s="306"/>
      <c r="P451" s="306"/>
      <c r="Q451" s="306"/>
      <c r="R451" s="306"/>
      <c r="S451" s="306"/>
      <c r="T451" s="306"/>
      <c r="U451" s="306"/>
      <c r="V451" s="306"/>
      <c r="W451" s="306"/>
      <c r="X451" s="306"/>
      <c r="Y451" s="306"/>
      <c r="Z451" s="306"/>
    </row>
    <row r="452" spans="1:26" x14ac:dyDescent="0.35">
      <c r="A452" s="306"/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N452" s="306"/>
      <c r="O452" s="306"/>
      <c r="P452" s="306"/>
      <c r="Q452" s="306"/>
      <c r="R452" s="306"/>
      <c r="S452" s="306"/>
      <c r="T452" s="306"/>
      <c r="U452" s="306"/>
      <c r="V452" s="306"/>
      <c r="W452" s="306"/>
      <c r="X452" s="306"/>
      <c r="Y452" s="306"/>
      <c r="Z452" s="306"/>
    </row>
    <row r="453" spans="1:26" x14ac:dyDescent="0.35">
      <c r="A453" s="306"/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N453" s="306"/>
      <c r="O453" s="306"/>
      <c r="P453" s="306"/>
      <c r="Q453" s="306"/>
      <c r="R453" s="306"/>
      <c r="S453" s="306"/>
      <c r="T453" s="306"/>
      <c r="U453" s="306"/>
      <c r="V453" s="306"/>
      <c r="W453" s="306"/>
      <c r="X453" s="306"/>
      <c r="Y453" s="306"/>
      <c r="Z453" s="306"/>
    </row>
    <row r="454" spans="1:26" x14ac:dyDescent="0.35">
      <c r="A454" s="306"/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  <c r="X454" s="306"/>
      <c r="Y454" s="306"/>
      <c r="Z454" s="306"/>
    </row>
    <row r="455" spans="1:26" x14ac:dyDescent="0.35">
      <c r="A455" s="306"/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N455" s="306"/>
      <c r="O455" s="306"/>
      <c r="P455" s="306"/>
      <c r="Q455" s="306"/>
      <c r="R455" s="306"/>
      <c r="S455" s="306"/>
      <c r="T455" s="306"/>
      <c r="U455" s="306"/>
      <c r="V455" s="306"/>
      <c r="W455" s="306"/>
      <c r="X455" s="306"/>
      <c r="Y455" s="306"/>
      <c r="Z455" s="306"/>
    </row>
    <row r="456" spans="1:26" x14ac:dyDescent="0.35">
      <c r="A456" s="306"/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N456" s="306"/>
      <c r="O456" s="306"/>
      <c r="P456" s="306"/>
      <c r="Q456" s="306"/>
      <c r="R456" s="306"/>
      <c r="S456" s="306"/>
      <c r="T456" s="306"/>
      <c r="U456" s="306"/>
      <c r="V456" s="306"/>
      <c r="W456" s="306"/>
      <c r="X456" s="306"/>
      <c r="Y456" s="306"/>
      <c r="Z456" s="306"/>
    </row>
    <row r="457" spans="1:26" x14ac:dyDescent="0.35">
      <c r="A457" s="306"/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N457" s="306"/>
      <c r="O457" s="306"/>
      <c r="P457" s="306"/>
      <c r="Q457" s="306"/>
      <c r="R457" s="306"/>
      <c r="S457" s="306"/>
      <c r="T457" s="306"/>
      <c r="U457" s="306"/>
      <c r="V457" s="306"/>
      <c r="W457" s="306"/>
      <c r="X457" s="306"/>
      <c r="Y457" s="306"/>
      <c r="Z457" s="306"/>
    </row>
    <row r="458" spans="1:26" x14ac:dyDescent="0.35">
      <c r="A458" s="306"/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N458" s="306"/>
      <c r="O458" s="306"/>
      <c r="P458" s="306"/>
      <c r="Q458" s="306"/>
      <c r="R458" s="306"/>
      <c r="S458" s="306"/>
      <c r="T458" s="306"/>
      <c r="U458" s="306"/>
      <c r="V458" s="306"/>
      <c r="W458" s="306"/>
      <c r="X458" s="306"/>
      <c r="Y458" s="306"/>
      <c r="Z458" s="306"/>
    </row>
    <row r="459" spans="1:26" x14ac:dyDescent="0.35">
      <c r="A459" s="306"/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N459" s="306"/>
      <c r="O459" s="306"/>
      <c r="P459" s="306"/>
      <c r="Q459" s="306"/>
      <c r="R459" s="306"/>
      <c r="S459" s="306"/>
      <c r="T459" s="306"/>
      <c r="U459" s="306"/>
      <c r="V459" s="306"/>
      <c r="W459" s="306"/>
      <c r="X459" s="306"/>
      <c r="Y459" s="306"/>
      <c r="Z459" s="306"/>
    </row>
    <row r="460" spans="1:26" x14ac:dyDescent="0.35">
      <c r="A460" s="306"/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N460" s="306"/>
      <c r="O460" s="306"/>
      <c r="P460" s="306"/>
      <c r="Q460" s="306"/>
      <c r="R460" s="306"/>
      <c r="S460" s="306"/>
      <c r="T460" s="306"/>
      <c r="U460" s="306"/>
      <c r="V460" s="306"/>
      <c r="W460" s="306"/>
      <c r="X460" s="306"/>
      <c r="Y460" s="306"/>
      <c r="Z460" s="306"/>
    </row>
    <row r="461" spans="1:26" x14ac:dyDescent="0.35">
      <c r="A461" s="306"/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N461" s="306"/>
      <c r="O461" s="306"/>
      <c r="P461" s="306"/>
      <c r="Q461" s="306"/>
      <c r="R461" s="306"/>
      <c r="S461" s="306"/>
      <c r="T461" s="306"/>
      <c r="U461" s="306"/>
      <c r="V461" s="306"/>
      <c r="W461" s="306"/>
      <c r="X461" s="306"/>
      <c r="Y461" s="306"/>
      <c r="Z461" s="306"/>
    </row>
    <row r="462" spans="1:26" x14ac:dyDescent="0.35">
      <c r="A462" s="306"/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N462" s="306"/>
      <c r="O462" s="306"/>
      <c r="P462" s="306"/>
      <c r="Q462" s="306"/>
      <c r="R462" s="306"/>
      <c r="S462" s="306"/>
      <c r="T462" s="306"/>
      <c r="U462" s="306"/>
      <c r="V462" s="306"/>
      <c r="W462" s="306"/>
      <c r="X462" s="306"/>
      <c r="Y462" s="306"/>
      <c r="Z462" s="306"/>
    </row>
    <row r="463" spans="1:26" x14ac:dyDescent="0.35">
      <c r="A463" s="306"/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N463" s="306"/>
      <c r="O463" s="306"/>
      <c r="P463" s="306"/>
      <c r="Q463" s="306"/>
      <c r="R463" s="306"/>
      <c r="S463" s="306"/>
      <c r="T463" s="306"/>
      <c r="U463" s="306"/>
      <c r="V463" s="306"/>
      <c r="W463" s="306"/>
      <c r="X463" s="306"/>
      <c r="Y463" s="306"/>
      <c r="Z463" s="306"/>
    </row>
    <row r="464" spans="1:26" x14ac:dyDescent="0.35">
      <c r="A464" s="306"/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N464" s="306"/>
      <c r="O464" s="306"/>
      <c r="P464" s="306"/>
      <c r="Q464" s="306"/>
      <c r="R464" s="306"/>
      <c r="S464" s="306"/>
      <c r="T464" s="306"/>
      <c r="U464" s="306"/>
      <c r="V464" s="306"/>
      <c r="W464" s="306"/>
      <c r="X464" s="306"/>
      <c r="Y464" s="306"/>
      <c r="Z464" s="306"/>
    </row>
    <row r="465" spans="1:26" x14ac:dyDescent="0.35">
      <c r="A465" s="306"/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N465" s="306"/>
      <c r="O465" s="306"/>
      <c r="P465" s="306"/>
      <c r="Q465" s="306"/>
      <c r="R465" s="306"/>
      <c r="S465" s="306"/>
      <c r="T465" s="306"/>
      <c r="U465" s="306"/>
      <c r="V465" s="306"/>
      <c r="W465" s="306"/>
      <c r="X465" s="306"/>
      <c r="Y465" s="306"/>
      <c r="Z465" s="306"/>
    </row>
    <row r="466" spans="1:26" x14ac:dyDescent="0.35">
      <c r="A466" s="306"/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N466" s="306"/>
      <c r="O466" s="306"/>
      <c r="P466" s="306"/>
      <c r="Q466" s="306"/>
      <c r="R466" s="306"/>
      <c r="S466" s="306"/>
      <c r="T466" s="306"/>
      <c r="U466" s="306"/>
      <c r="V466" s="306"/>
      <c r="W466" s="306"/>
      <c r="X466" s="306"/>
      <c r="Y466" s="306"/>
      <c r="Z466" s="306"/>
    </row>
    <row r="467" spans="1:26" x14ac:dyDescent="0.35">
      <c r="A467" s="306"/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N467" s="306"/>
      <c r="O467" s="306"/>
      <c r="P467" s="306"/>
      <c r="Q467" s="306"/>
      <c r="R467" s="306"/>
      <c r="S467" s="306"/>
      <c r="T467" s="306"/>
      <c r="U467" s="306"/>
      <c r="V467" s="306"/>
      <c r="W467" s="306"/>
      <c r="X467" s="306"/>
      <c r="Y467" s="306"/>
      <c r="Z467" s="306"/>
    </row>
    <row r="468" spans="1:26" x14ac:dyDescent="0.35">
      <c r="A468" s="306"/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N468" s="306"/>
      <c r="O468" s="306"/>
      <c r="P468" s="306"/>
      <c r="Q468" s="306"/>
      <c r="R468" s="306"/>
      <c r="S468" s="306"/>
      <c r="T468" s="306"/>
      <c r="U468" s="306"/>
      <c r="V468" s="306"/>
      <c r="W468" s="306"/>
      <c r="X468" s="306"/>
      <c r="Y468" s="306"/>
      <c r="Z468" s="306"/>
    </row>
    <row r="469" spans="1:26" x14ac:dyDescent="0.35">
      <c r="A469" s="306"/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N469" s="306"/>
      <c r="O469" s="306"/>
      <c r="P469" s="306"/>
      <c r="Q469" s="306"/>
      <c r="R469" s="306"/>
      <c r="S469" s="306"/>
      <c r="T469" s="306"/>
      <c r="U469" s="306"/>
      <c r="V469" s="306"/>
      <c r="W469" s="306"/>
      <c r="X469" s="306"/>
      <c r="Y469" s="306"/>
      <c r="Z469" s="306"/>
    </row>
    <row r="470" spans="1:26" x14ac:dyDescent="0.35">
      <c r="A470" s="306"/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N470" s="306"/>
      <c r="O470" s="306"/>
      <c r="P470" s="306"/>
      <c r="Q470" s="306"/>
      <c r="R470" s="306"/>
      <c r="S470" s="306"/>
      <c r="T470" s="306"/>
      <c r="U470" s="306"/>
      <c r="V470" s="306"/>
      <c r="W470" s="306"/>
      <c r="X470" s="306"/>
      <c r="Y470" s="306"/>
      <c r="Z470" s="306"/>
    </row>
    <row r="471" spans="1:26" x14ac:dyDescent="0.35">
      <c r="A471" s="306"/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N471" s="306"/>
      <c r="O471" s="306"/>
      <c r="P471" s="306"/>
      <c r="Q471" s="306"/>
      <c r="R471" s="306"/>
      <c r="S471" s="306"/>
      <c r="T471" s="306"/>
      <c r="U471" s="306"/>
      <c r="V471" s="306"/>
      <c r="W471" s="306"/>
      <c r="X471" s="306"/>
      <c r="Y471" s="306"/>
      <c r="Z471" s="306"/>
    </row>
    <row r="472" spans="1:26" x14ac:dyDescent="0.35">
      <c r="A472" s="306"/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6"/>
      <c r="O472" s="306"/>
      <c r="P472" s="306"/>
      <c r="Q472" s="306"/>
      <c r="R472" s="306"/>
      <c r="S472" s="306"/>
      <c r="T472" s="306"/>
      <c r="U472" s="306"/>
      <c r="V472" s="306"/>
      <c r="W472" s="306"/>
      <c r="X472" s="306"/>
      <c r="Y472" s="306"/>
      <c r="Z472" s="306"/>
    </row>
    <row r="473" spans="1:26" x14ac:dyDescent="0.35">
      <c r="A473" s="306"/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N473" s="306"/>
      <c r="O473" s="306"/>
      <c r="P473" s="306"/>
      <c r="Q473" s="306"/>
      <c r="R473" s="306"/>
      <c r="S473" s="306"/>
      <c r="T473" s="306"/>
      <c r="U473" s="306"/>
      <c r="V473" s="306"/>
      <c r="W473" s="306"/>
      <c r="X473" s="306"/>
      <c r="Y473" s="306"/>
      <c r="Z473" s="306"/>
    </row>
    <row r="474" spans="1:26" x14ac:dyDescent="0.35">
      <c r="A474" s="306"/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N474" s="306"/>
      <c r="O474" s="306"/>
      <c r="P474" s="306"/>
      <c r="Q474" s="306"/>
      <c r="R474" s="306"/>
      <c r="S474" s="306"/>
      <c r="T474" s="306"/>
      <c r="U474" s="306"/>
      <c r="V474" s="306"/>
      <c r="W474" s="306"/>
      <c r="X474" s="306"/>
      <c r="Y474" s="306"/>
      <c r="Z474" s="306"/>
    </row>
    <row r="475" spans="1:26" x14ac:dyDescent="0.35">
      <c r="A475" s="306"/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N475" s="306"/>
      <c r="O475" s="306"/>
      <c r="P475" s="306"/>
      <c r="Q475" s="306"/>
      <c r="R475" s="306"/>
      <c r="S475" s="306"/>
      <c r="T475" s="306"/>
      <c r="U475" s="306"/>
      <c r="V475" s="306"/>
      <c r="W475" s="306"/>
      <c r="X475" s="306"/>
      <c r="Y475" s="306"/>
      <c r="Z475" s="306"/>
    </row>
    <row r="476" spans="1:26" x14ac:dyDescent="0.35">
      <c r="A476" s="306"/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N476" s="306"/>
      <c r="O476" s="306"/>
      <c r="P476" s="306"/>
      <c r="Q476" s="306"/>
      <c r="R476" s="306"/>
      <c r="S476" s="306"/>
      <c r="T476" s="306"/>
      <c r="U476" s="306"/>
      <c r="V476" s="306"/>
      <c r="W476" s="306"/>
      <c r="X476" s="306"/>
      <c r="Y476" s="306"/>
      <c r="Z476" s="306"/>
    </row>
    <row r="477" spans="1:26" x14ac:dyDescent="0.35">
      <c r="A477" s="306"/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N477" s="306"/>
      <c r="O477" s="306"/>
      <c r="P477" s="306"/>
      <c r="Q477" s="306"/>
      <c r="R477" s="306"/>
      <c r="S477" s="306"/>
      <c r="T477" s="306"/>
      <c r="U477" s="306"/>
      <c r="V477" s="306"/>
      <c r="W477" s="306"/>
      <c r="X477" s="306"/>
      <c r="Y477" s="306"/>
      <c r="Z477" s="306"/>
    </row>
    <row r="478" spans="1:26" x14ac:dyDescent="0.35">
      <c r="A478" s="306"/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N478" s="306"/>
      <c r="O478" s="306"/>
      <c r="P478" s="306"/>
      <c r="Q478" s="306"/>
      <c r="R478" s="306"/>
      <c r="S478" s="306"/>
      <c r="T478" s="306"/>
      <c r="U478" s="306"/>
      <c r="V478" s="306"/>
      <c r="W478" s="306"/>
      <c r="X478" s="306"/>
      <c r="Y478" s="306"/>
      <c r="Z478" s="306"/>
    </row>
    <row r="479" spans="1:26" x14ac:dyDescent="0.35">
      <c r="A479" s="306"/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N479" s="306"/>
      <c r="O479" s="306"/>
      <c r="P479" s="306"/>
      <c r="Q479" s="306"/>
      <c r="R479" s="306"/>
      <c r="S479" s="306"/>
      <c r="T479" s="306"/>
      <c r="U479" s="306"/>
      <c r="V479" s="306"/>
      <c r="W479" s="306"/>
      <c r="X479" s="306"/>
      <c r="Y479" s="306"/>
      <c r="Z479" s="306"/>
    </row>
    <row r="480" spans="1:26" x14ac:dyDescent="0.35">
      <c r="A480" s="306"/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N480" s="306"/>
      <c r="O480" s="306"/>
      <c r="P480" s="306"/>
      <c r="Q480" s="306"/>
      <c r="R480" s="306"/>
      <c r="S480" s="306"/>
      <c r="T480" s="306"/>
      <c r="U480" s="306"/>
      <c r="V480" s="306"/>
      <c r="W480" s="306"/>
      <c r="X480" s="306"/>
      <c r="Y480" s="306"/>
      <c r="Z480" s="306"/>
    </row>
    <row r="481" spans="1:26" x14ac:dyDescent="0.35">
      <c r="A481" s="306"/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N481" s="306"/>
      <c r="O481" s="306"/>
      <c r="P481" s="306"/>
      <c r="Q481" s="306"/>
      <c r="R481" s="306"/>
      <c r="S481" s="306"/>
      <c r="T481" s="306"/>
      <c r="U481" s="306"/>
      <c r="V481" s="306"/>
      <c r="W481" s="306"/>
      <c r="X481" s="306"/>
      <c r="Y481" s="306"/>
      <c r="Z481" s="306"/>
    </row>
    <row r="482" spans="1:26" x14ac:dyDescent="0.35">
      <c r="A482" s="306"/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N482" s="306"/>
      <c r="O482" s="306"/>
      <c r="P482" s="306"/>
      <c r="Q482" s="306"/>
      <c r="R482" s="306"/>
      <c r="S482" s="306"/>
      <c r="T482" s="306"/>
      <c r="U482" s="306"/>
      <c r="V482" s="306"/>
      <c r="W482" s="306"/>
      <c r="X482" s="306"/>
      <c r="Y482" s="306"/>
      <c r="Z482" s="306"/>
    </row>
    <row r="483" spans="1:26" x14ac:dyDescent="0.35">
      <c r="A483" s="306"/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N483" s="306"/>
      <c r="O483" s="306"/>
      <c r="P483" s="306"/>
      <c r="Q483" s="306"/>
      <c r="R483" s="306"/>
      <c r="S483" s="306"/>
      <c r="T483" s="306"/>
      <c r="U483" s="306"/>
      <c r="V483" s="306"/>
      <c r="W483" s="306"/>
      <c r="X483" s="306"/>
      <c r="Y483" s="306"/>
      <c r="Z483" s="306"/>
    </row>
    <row r="484" spans="1:26" x14ac:dyDescent="0.35">
      <c r="A484" s="306"/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N484" s="306"/>
      <c r="O484" s="306"/>
      <c r="P484" s="306"/>
      <c r="Q484" s="306"/>
      <c r="R484" s="306"/>
      <c r="S484" s="306"/>
      <c r="T484" s="306"/>
      <c r="U484" s="306"/>
      <c r="V484" s="306"/>
      <c r="W484" s="306"/>
      <c r="X484" s="306"/>
      <c r="Y484" s="306"/>
      <c r="Z484" s="306"/>
    </row>
    <row r="485" spans="1:26" x14ac:dyDescent="0.35">
      <c r="A485" s="306"/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N485" s="306"/>
      <c r="O485" s="306"/>
      <c r="P485" s="306"/>
      <c r="Q485" s="306"/>
      <c r="R485" s="306"/>
      <c r="S485" s="306"/>
      <c r="T485" s="306"/>
      <c r="U485" s="306"/>
      <c r="V485" s="306"/>
      <c r="W485" s="306"/>
      <c r="X485" s="306"/>
      <c r="Y485" s="306"/>
      <c r="Z485" s="306"/>
    </row>
    <row r="486" spans="1:26" x14ac:dyDescent="0.35">
      <c r="A486" s="306"/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N486" s="306"/>
      <c r="O486" s="306"/>
      <c r="P486" s="306"/>
      <c r="Q486" s="306"/>
      <c r="R486" s="306"/>
      <c r="S486" s="306"/>
      <c r="T486" s="306"/>
      <c r="U486" s="306"/>
      <c r="V486" s="306"/>
      <c r="W486" s="306"/>
      <c r="X486" s="306"/>
      <c r="Y486" s="306"/>
      <c r="Z486" s="306"/>
    </row>
    <row r="487" spans="1:26" x14ac:dyDescent="0.35">
      <c r="A487" s="306"/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N487" s="306"/>
      <c r="O487" s="306"/>
      <c r="P487" s="306"/>
      <c r="Q487" s="306"/>
      <c r="R487" s="306"/>
      <c r="S487" s="306"/>
      <c r="T487" s="306"/>
      <c r="U487" s="306"/>
      <c r="V487" s="306"/>
      <c r="W487" s="306"/>
      <c r="X487" s="306"/>
      <c r="Y487" s="306"/>
      <c r="Z487" s="306"/>
    </row>
    <row r="488" spans="1:26" x14ac:dyDescent="0.35">
      <c r="A488" s="306"/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N488" s="306"/>
      <c r="O488" s="306"/>
      <c r="P488" s="306"/>
      <c r="Q488" s="306"/>
      <c r="R488" s="306"/>
      <c r="S488" s="306"/>
      <c r="T488" s="306"/>
      <c r="U488" s="306"/>
      <c r="V488" s="306"/>
      <c r="W488" s="306"/>
      <c r="X488" s="306"/>
      <c r="Y488" s="306"/>
      <c r="Z488" s="306"/>
    </row>
    <row r="489" spans="1:26" x14ac:dyDescent="0.35">
      <c r="A489" s="306"/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N489" s="306"/>
      <c r="O489" s="306"/>
      <c r="P489" s="306"/>
      <c r="Q489" s="306"/>
      <c r="R489" s="306"/>
      <c r="S489" s="306"/>
      <c r="T489" s="306"/>
      <c r="U489" s="306"/>
      <c r="V489" s="306"/>
      <c r="W489" s="306"/>
      <c r="X489" s="306"/>
      <c r="Y489" s="306"/>
      <c r="Z489" s="306"/>
    </row>
    <row r="490" spans="1:26" x14ac:dyDescent="0.35">
      <c r="A490" s="306"/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N490" s="306"/>
      <c r="O490" s="306"/>
      <c r="P490" s="306"/>
      <c r="Q490" s="306"/>
      <c r="R490" s="306"/>
      <c r="S490" s="306"/>
      <c r="T490" s="306"/>
      <c r="U490" s="306"/>
      <c r="V490" s="306"/>
      <c r="W490" s="306"/>
      <c r="X490" s="306"/>
      <c r="Y490" s="306"/>
      <c r="Z490" s="306"/>
    </row>
    <row r="491" spans="1:26" x14ac:dyDescent="0.35">
      <c r="A491" s="306"/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N491" s="306"/>
      <c r="O491" s="306"/>
      <c r="P491" s="306"/>
      <c r="Q491" s="306"/>
      <c r="R491" s="306"/>
      <c r="S491" s="306"/>
      <c r="T491" s="306"/>
      <c r="U491" s="306"/>
      <c r="V491" s="306"/>
      <c r="W491" s="306"/>
      <c r="X491" s="306"/>
      <c r="Y491" s="306"/>
      <c r="Z491" s="306"/>
    </row>
    <row r="492" spans="1:26" x14ac:dyDescent="0.35">
      <c r="A492" s="306"/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N492" s="306"/>
      <c r="O492" s="306"/>
      <c r="P492" s="306"/>
      <c r="Q492" s="306"/>
      <c r="R492" s="306"/>
      <c r="S492" s="306"/>
      <c r="T492" s="306"/>
      <c r="U492" s="306"/>
      <c r="V492" s="306"/>
      <c r="W492" s="306"/>
      <c r="X492" s="306"/>
      <c r="Y492" s="306"/>
      <c r="Z492" s="306"/>
    </row>
    <row r="493" spans="1:26" x14ac:dyDescent="0.35">
      <c r="A493" s="306"/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N493" s="306"/>
      <c r="O493" s="306"/>
      <c r="P493" s="306"/>
      <c r="Q493" s="306"/>
      <c r="R493" s="306"/>
      <c r="S493" s="306"/>
      <c r="T493" s="306"/>
      <c r="U493" s="306"/>
      <c r="V493" s="306"/>
      <c r="W493" s="306"/>
      <c r="X493" s="306"/>
      <c r="Y493" s="306"/>
      <c r="Z493" s="306"/>
    </row>
    <row r="494" spans="1:26" x14ac:dyDescent="0.35">
      <c r="A494" s="306"/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N494" s="306"/>
      <c r="O494" s="306"/>
      <c r="P494" s="306"/>
      <c r="Q494" s="306"/>
      <c r="R494" s="306"/>
      <c r="S494" s="306"/>
      <c r="T494" s="306"/>
      <c r="U494" s="306"/>
      <c r="V494" s="306"/>
      <c r="W494" s="306"/>
      <c r="X494" s="306"/>
      <c r="Y494" s="306"/>
      <c r="Z494" s="306"/>
    </row>
    <row r="495" spans="1:26" x14ac:dyDescent="0.35">
      <c r="A495" s="306"/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N495" s="306"/>
      <c r="O495" s="306"/>
      <c r="P495" s="306"/>
      <c r="Q495" s="306"/>
      <c r="R495" s="306"/>
      <c r="S495" s="306"/>
      <c r="T495" s="306"/>
      <c r="U495" s="306"/>
      <c r="V495" s="306"/>
      <c r="W495" s="306"/>
      <c r="X495" s="306"/>
      <c r="Y495" s="306"/>
      <c r="Z495" s="306"/>
    </row>
    <row r="496" spans="1:26" x14ac:dyDescent="0.35">
      <c r="A496" s="306"/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</row>
    <row r="497" spans="1:26" x14ac:dyDescent="0.35">
      <c r="A497" s="306"/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N497" s="306"/>
      <c r="O497" s="306"/>
      <c r="P497" s="306"/>
      <c r="Q497" s="306"/>
      <c r="R497" s="306"/>
      <c r="S497" s="306"/>
      <c r="T497" s="306"/>
      <c r="U497" s="306"/>
      <c r="V497" s="306"/>
      <c r="W497" s="306"/>
      <c r="X497" s="306"/>
      <c r="Y497" s="306"/>
      <c r="Z497" s="306"/>
    </row>
    <row r="498" spans="1:26" x14ac:dyDescent="0.35">
      <c r="A498" s="306"/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N498" s="306"/>
      <c r="O498" s="306"/>
      <c r="P498" s="306"/>
      <c r="Q498" s="306"/>
      <c r="R498" s="306"/>
      <c r="S498" s="306"/>
      <c r="T498" s="306"/>
      <c r="U498" s="306"/>
      <c r="V498" s="306"/>
      <c r="W498" s="306"/>
      <c r="X498" s="306"/>
      <c r="Y498" s="306"/>
      <c r="Z498" s="306"/>
    </row>
    <row r="499" spans="1:26" x14ac:dyDescent="0.35">
      <c r="A499" s="306"/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N499" s="306"/>
      <c r="O499" s="306"/>
      <c r="P499" s="306"/>
      <c r="Q499" s="306"/>
      <c r="R499" s="306"/>
      <c r="S499" s="306"/>
      <c r="T499" s="306"/>
      <c r="U499" s="306"/>
      <c r="V499" s="306"/>
      <c r="W499" s="306"/>
      <c r="X499" s="306"/>
      <c r="Y499" s="306"/>
      <c r="Z499" s="306"/>
    </row>
    <row r="500" spans="1:26" x14ac:dyDescent="0.35">
      <c r="A500" s="306"/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N500" s="306"/>
      <c r="O500" s="306"/>
      <c r="P500" s="306"/>
      <c r="Q500" s="306"/>
      <c r="R500" s="306"/>
      <c r="S500" s="306"/>
      <c r="T500" s="306"/>
      <c r="U500" s="306"/>
      <c r="V500" s="306"/>
      <c r="W500" s="306"/>
      <c r="X500" s="306"/>
      <c r="Y500" s="306"/>
      <c r="Z500" s="306"/>
    </row>
    <row r="501" spans="1:26" x14ac:dyDescent="0.35">
      <c r="A501" s="306"/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N501" s="306"/>
      <c r="O501" s="306"/>
      <c r="P501" s="306"/>
      <c r="Q501" s="306"/>
      <c r="R501" s="306"/>
      <c r="S501" s="306"/>
      <c r="T501" s="306"/>
      <c r="U501" s="306"/>
      <c r="V501" s="306"/>
      <c r="W501" s="306"/>
      <c r="X501" s="306"/>
      <c r="Y501" s="306"/>
      <c r="Z501" s="306"/>
    </row>
    <row r="502" spans="1:26" x14ac:dyDescent="0.35">
      <c r="A502" s="306"/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N502" s="306"/>
      <c r="O502" s="306"/>
      <c r="P502" s="306"/>
      <c r="Q502" s="306"/>
      <c r="R502" s="306"/>
      <c r="S502" s="306"/>
      <c r="T502" s="306"/>
      <c r="U502" s="306"/>
      <c r="V502" s="306"/>
      <c r="W502" s="306"/>
      <c r="X502" s="306"/>
      <c r="Y502" s="306"/>
      <c r="Z502" s="306"/>
    </row>
    <row r="503" spans="1:26" x14ac:dyDescent="0.35">
      <c r="A503" s="306"/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N503" s="306"/>
      <c r="O503" s="306"/>
      <c r="P503" s="306"/>
      <c r="Q503" s="306"/>
      <c r="R503" s="306"/>
      <c r="S503" s="306"/>
      <c r="T503" s="306"/>
      <c r="U503" s="306"/>
      <c r="V503" s="306"/>
      <c r="W503" s="306"/>
      <c r="X503" s="306"/>
      <c r="Y503" s="306"/>
      <c r="Z503" s="306"/>
    </row>
    <row r="504" spans="1:26" x14ac:dyDescent="0.35">
      <c r="A504" s="306"/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N504" s="306"/>
      <c r="O504" s="306"/>
      <c r="P504" s="306"/>
      <c r="Q504" s="306"/>
      <c r="R504" s="306"/>
      <c r="S504" s="306"/>
      <c r="T504" s="306"/>
      <c r="U504" s="306"/>
      <c r="V504" s="306"/>
      <c r="W504" s="306"/>
      <c r="X504" s="306"/>
      <c r="Y504" s="306"/>
      <c r="Z504" s="306"/>
    </row>
    <row r="505" spans="1:26" x14ac:dyDescent="0.35">
      <c r="A505" s="306"/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N505" s="306"/>
      <c r="O505" s="306"/>
      <c r="P505" s="306"/>
      <c r="Q505" s="306"/>
      <c r="R505" s="306"/>
      <c r="S505" s="306"/>
      <c r="T505" s="306"/>
      <c r="U505" s="306"/>
      <c r="V505" s="306"/>
      <c r="W505" s="306"/>
      <c r="X505" s="306"/>
      <c r="Y505" s="306"/>
      <c r="Z505" s="306"/>
    </row>
    <row r="506" spans="1:26" x14ac:dyDescent="0.35">
      <c r="A506" s="306"/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N506" s="306"/>
      <c r="O506" s="306"/>
      <c r="P506" s="306"/>
      <c r="Q506" s="306"/>
      <c r="R506" s="306"/>
      <c r="S506" s="306"/>
      <c r="T506" s="306"/>
      <c r="U506" s="306"/>
      <c r="V506" s="306"/>
      <c r="W506" s="306"/>
      <c r="X506" s="306"/>
      <c r="Y506" s="306"/>
      <c r="Z506" s="306"/>
    </row>
    <row r="507" spans="1:26" x14ac:dyDescent="0.35">
      <c r="A507" s="306"/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N507" s="306"/>
      <c r="O507" s="306"/>
      <c r="P507" s="306"/>
      <c r="Q507" s="306"/>
      <c r="R507" s="306"/>
      <c r="S507" s="306"/>
      <c r="T507" s="306"/>
      <c r="U507" s="306"/>
      <c r="V507" s="306"/>
      <c r="W507" s="306"/>
      <c r="X507" s="306"/>
      <c r="Y507" s="306"/>
      <c r="Z507" s="306"/>
    </row>
    <row r="508" spans="1:26" x14ac:dyDescent="0.35">
      <c r="A508" s="306"/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N508" s="306"/>
      <c r="O508" s="306"/>
      <c r="P508" s="306"/>
      <c r="Q508" s="306"/>
      <c r="R508" s="306"/>
      <c r="S508" s="306"/>
      <c r="T508" s="306"/>
      <c r="U508" s="306"/>
      <c r="V508" s="306"/>
      <c r="W508" s="306"/>
      <c r="X508" s="306"/>
      <c r="Y508" s="306"/>
      <c r="Z508" s="306"/>
    </row>
    <row r="509" spans="1:26" x14ac:dyDescent="0.35">
      <c r="A509" s="306"/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N509" s="306"/>
      <c r="O509" s="306"/>
      <c r="P509" s="306"/>
      <c r="Q509" s="306"/>
      <c r="R509" s="306"/>
      <c r="S509" s="306"/>
      <c r="T509" s="306"/>
      <c r="U509" s="306"/>
      <c r="V509" s="306"/>
      <c r="W509" s="306"/>
      <c r="X509" s="306"/>
      <c r="Y509" s="306"/>
      <c r="Z509" s="306"/>
    </row>
    <row r="510" spans="1:26" x14ac:dyDescent="0.35">
      <c r="A510" s="306"/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N510" s="306"/>
      <c r="O510" s="306"/>
      <c r="P510" s="306"/>
      <c r="Q510" s="306"/>
      <c r="R510" s="306"/>
      <c r="S510" s="306"/>
      <c r="T510" s="306"/>
      <c r="U510" s="306"/>
      <c r="V510" s="306"/>
      <c r="W510" s="306"/>
      <c r="X510" s="306"/>
      <c r="Y510" s="306"/>
      <c r="Z510" s="306"/>
    </row>
    <row r="511" spans="1:26" x14ac:dyDescent="0.35">
      <c r="A511" s="306"/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N511" s="306"/>
      <c r="O511" s="306"/>
      <c r="P511" s="306"/>
      <c r="Q511" s="306"/>
      <c r="R511" s="306"/>
      <c r="S511" s="306"/>
      <c r="T511" s="306"/>
      <c r="U511" s="306"/>
      <c r="V511" s="306"/>
      <c r="W511" s="306"/>
      <c r="X511" s="306"/>
      <c r="Y511" s="306"/>
      <c r="Z511" s="306"/>
    </row>
    <row r="512" spans="1:26" x14ac:dyDescent="0.35">
      <c r="A512" s="306"/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N512" s="306"/>
      <c r="O512" s="306"/>
      <c r="P512" s="306"/>
      <c r="Q512" s="306"/>
      <c r="R512" s="306"/>
      <c r="S512" s="306"/>
      <c r="T512" s="306"/>
      <c r="U512" s="306"/>
      <c r="V512" s="306"/>
      <c r="W512" s="306"/>
      <c r="X512" s="306"/>
      <c r="Y512" s="306"/>
      <c r="Z512" s="306"/>
    </row>
    <row r="513" spans="1:26" x14ac:dyDescent="0.35">
      <c r="A513" s="306"/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N513" s="306"/>
      <c r="O513" s="306"/>
      <c r="P513" s="306"/>
      <c r="Q513" s="306"/>
      <c r="R513" s="306"/>
      <c r="S513" s="306"/>
      <c r="T513" s="306"/>
      <c r="U513" s="306"/>
      <c r="V513" s="306"/>
      <c r="W513" s="306"/>
      <c r="X513" s="306"/>
      <c r="Y513" s="306"/>
      <c r="Z513" s="306"/>
    </row>
    <row r="514" spans="1:26" x14ac:dyDescent="0.35">
      <c r="A514" s="306"/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N514" s="306"/>
      <c r="O514" s="306"/>
      <c r="P514" s="306"/>
      <c r="Q514" s="306"/>
      <c r="R514" s="306"/>
      <c r="S514" s="306"/>
      <c r="T514" s="306"/>
      <c r="U514" s="306"/>
      <c r="V514" s="306"/>
      <c r="W514" s="306"/>
      <c r="X514" s="306"/>
      <c r="Y514" s="306"/>
      <c r="Z514" s="306"/>
    </row>
    <row r="515" spans="1:26" x14ac:dyDescent="0.35">
      <c r="A515" s="306"/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N515" s="306"/>
      <c r="O515" s="306"/>
      <c r="P515" s="306"/>
      <c r="Q515" s="306"/>
      <c r="R515" s="306"/>
      <c r="S515" s="306"/>
      <c r="T515" s="306"/>
      <c r="U515" s="306"/>
      <c r="V515" s="306"/>
      <c r="W515" s="306"/>
      <c r="X515" s="306"/>
      <c r="Y515" s="306"/>
      <c r="Z515" s="306"/>
    </row>
    <row r="516" spans="1:26" x14ac:dyDescent="0.35">
      <c r="A516" s="306"/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N516" s="306"/>
      <c r="O516" s="306"/>
      <c r="P516" s="306"/>
      <c r="Q516" s="306"/>
      <c r="R516" s="306"/>
      <c r="S516" s="306"/>
      <c r="T516" s="306"/>
      <c r="U516" s="306"/>
      <c r="V516" s="306"/>
      <c r="W516" s="306"/>
      <c r="X516" s="306"/>
      <c r="Y516" s="306"/>
      <c r="Z516" s="306"/>
    </row>
    <row r="517" spans="1:26" x14ac:dyDescent="0.35">
      <c r="A517" s="306"/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N517" s="306"/>
      <c r="O517" s="306"/>
      <c r="P517" s="306"/>
      <c r="Q517" s="306"/>
      <c r="R517" s="306"/>
      <c r="S517" s="306"/>
      <c r="T517" s="306"/>
      <c r="U517" s="306"/>
      <c r="V517" s="306"/>
      <c r="W517" s="306"/>
      <c r="X517" s="306"/>
      <c r="Y517" s="306"/>
      <c r="Z517" s="306"/>
    </row>
    <row r="518" spans="1:26" x14ac:dyDescent="0.35">
      <c r="A518" s="306"/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N518" s="306"/>
      <c r="O518" s="306"/>
      <c r="P518" s="306"/>
      <c r="Q518" s="306"/>
      <c r="R518" s="306"/>
      <c r="S518" s="306"/>
      <c r="T518" s="306"/>
      <c r="U518" s="306"/>
      <c r="V518" s="306"/>
      <c r="W518" s="306"/>
      <c r="X518" s="306"/>
      <c r="Y518" s="306"/>
      <c r="Z518" s="306"/>
    </row>
    <row r="519" spans="1:26" x14ac:dyDescent="0.35">
      <c r="A519" s="306"/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N519" s="306"/>
      <c r="O519" s="306"/>
      <c r="P519" s="306"/>
      <c r="Q519" s="306"/>
      <c r="R519" s="306"/>
      <c r="S519" s="306"/>
      <c r="T519" s="306"/>
      <c r="U519" s="306"/>
      <c r="V519" s="306"/>
      <c r="W519" s="306"/>
      <c r="X519" s="306"/>
      <c r="Y519" s="306"/>
      <c r="Z519" s="306"/>
    </row>
    <row r="520" spans="1:26" x14ac:dyDescent="0.35">
      <c r="A520" s="306"/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N520" s="306"/>
      <c r="O520" s="306"/>
      <c r="P520" s="306"/>
      <c r="Q520" s="306"/>
      <c r="R520" s="306"/>
      <c r="S520" s="306"/>
      <c r="T520" s="306"/>
      <c r="U520" s="306"/>
      <c r="V520" s="306"/>
      <c r="W520" s="306"/>
      <c r="X520" s="306"/>
      <c r="Y520" s="306"/>
      <c r="Z520" s="306"/>
    </row>
    <row r="521" spans="1:26" x14ac:dyDescent="0.35">
      <c r="A521" s="306"/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N521" s="306"/>
      <c r="O521" s="306"/>
      <c r="P521" s="306"/>
      <c r="Q521" s="306"/>
      <c r="R521" s="306"/>
      <c r="S521" s="306"/>
      <c r="T521" s="306"/>
      <c r="U521" s="306"/>
      <c r="V521" s="306"/>
      <c r="W521" s="306"/>
      <c r="X521" s="306"/>
      <c r="Y521" s="306"/>
      <c r="Z521" s="306"/>
    </row>
    <row r="522" spans="1:26" x14ac:dyDescent="0.35">
      <c r="A522" s="306"/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N522" s="306"/>
      <c r="O522" s="306"/>
      <c r="P522" s="306"/>
      <c r="Q522" s="306"/>
      <c r="R522" s="306"/>
      <c r="S522" s="306"/>
      <c r="T522" s="306"/>
      <c r="U522" s="306"/>
      <c r="V522" s="306"/>
      <c r="W522" s="306"/>
      <c r="X522" s="306"/>
      <c r="Y522" s="306"/>
      <c r="Z522" s="306"/>
    </row>
    <row r="523" spans="1:26" x14ac:dyDescent="0.35">
      <c r="A523" s="306"/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N523" s="306"/>
      <c r="O523" s="306"/>
      <c r="P523" s="306"/>
      <c r="Q523" s="306"/>
      <c r="R523" s="306"/>
      <c r="S523" s="306"/>
      <c r="T523" s="306"/>
      <c r="U523" s="306"/>
      <c r="V523" s="306"/>
      <c r="W523" s="306"/>
      <c r="X523" s="306"/>
      <c r="Y523" s="306"/>
      <c r="Z523" s="306"/>
    </row>
    <row r="524" spans="1:26" x14ac:dyDescent="0.35">
      <c r="A524" s="306"/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6"/>
      <c r="O524" s="306"/>
      <c r="P524" s="306"/>
      <c r="Q524" s="306"/>
      <c r="R524" s="306"/>
      <c r="S524" s="306"/>
      <c r="T524" s="306"/>
      <c r="U524" s="306"/>
      <c r="V524" s="306"/>
      <c r="W524" s="306"/>
      <c r="X524" s="306"/>
      <c r="Y524" s="306"/>
      <c r="Z524" s="306"/>
    </row>
    <row r="525" spans="1:26" x14ac:dyDescent="0.35">
      <c r="A525" s="306"/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N525" s="306"/>
      <c r="O525" s="306"/>
      <c r="P525" s="306"/>
      <c r="Q525" s="306"/>
      <c r="R525" s="306"/>
      <c r="S525" s="306"/>
      <c r="T525" s="306"/>
      <c r="U525" s="306"/>
      <c r="V525" s="306"/>
      <c r="W525" s="306"/>
      <c r="X525" s="306"/>
      <c r="Y525" s="306"/>
      <c r="Z525" s="306"/>
    </row>
    <row r="526" spans="1:26" x14ac:dyDescent="0.35">
      <c r="A526" s="306"/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N526" s="306"/>
      <c r="O526" s="306"/>
      <c r="P526" s="306"/>
      <c r="Q526" s="306"/>
      <c r="R526" s="306"/>
      <c r="S526" s="306"/>
      <c r="T526" s="306"/>
      <c r="U526" s="306"/>
      <c r="V526" s="306"/>
      <c r="W526" s="306"/>
      <c r="X526" s="306"/>
      <c r="Y526" s="306"/>
      <c r="Z526" s="306"/>
    </row>
    <row r="527" spans="1:26" x14ac:dyDescent="0.35">
      <c r="A527" s="306"/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N527" s="306"/>
      <c r="O527" s="306"/>
      <c r="P527" s="306"/>
      <c r="Q527" s="306"/>
      <c r="R527" s="306"/>
      <c r="S527" s="306"/>
      <c r="T527" s="306"/>
      <c r="U527" s="306"/>
      <c r="V527" s="306"/>
      <c r="W527" s="306"/>
      <c r="X527" s="306"/>
      <c r="Y527" s="306"/>
      <c r="Z527" s="306"/>
    </row>
    <row r="528" spans="1:26" x14ac:dyDescent="0.35">
      <c r="A528" s="306"/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N528" s="306"/>
      <c r="O528" s="306"/>
      <c r="P528" s="306"/>
      <c r="Q528" s="306"/>
      <c r="R528" s="306"/>
      <c r="S528" s="306"/>
      <c r="T528" s="306"/>
      <c r="U528" s="306"/>
      <c r="V528" s="306"/>
      <c r="W528" s="306"/>
      <c r="X528" s="306"/>
      <c r="Y528" s="306"/>
      <c r="Z528" s="306"/>
    </row>
    <row r="529" spans="1:26" x14ac:dyDescent="0.35">
      <c r="A529" s="306"/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N529" s="306"/>
      <c r="O529" s="306"/>
      <c r="P529" s="306"/>
      <c r="Q529" s="306"/>
      <c r="R529" s="306"/>
      <c r="S529" s="306"/>
      <c r="T529" s="306"/>
      <c r="U529" s="306"/>
      <c r="V529" s="306"/>
      <c r="W529" s="306"/>
      <c r="X529" s="306"/>
      <c r="Y529" s="306"/>
      <c r="Z529" s="306"/>
    </row>
    <row r="530" spans="1:26" x14ac:dyDescent="0.35">
      <c r="A530" s="306"/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N530" s="306"/>
      <c r="O530" s="306"/>
      <c r="P530" s="306"/>
      <c r="Q530" s="306"/>
      <c r="R530" s="306"/>
      <c r="S530" s="306"/>
      <c r="T530" s="306"/>
      <c r="U530" s="306"/>
      <c r="V530" s="306"/>
      <c r="W530" s="306"/>
      <c r="X530" s="306"/>
      <c r="Y530" s="306"/>
      <c r="Z530" s="306"/>
    </row>
    <row r="531" spans="1:26" x14ac:dyDescent="0.35">
      <c r="A531" s="306"/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N531" s="306"/>
      <c r="O531" s="306"/>
      <c r="P531" s="306"/>
      <c r="Q531" s="306"/>
      <c r="R531" s="306"/>
      <c r="S531" s="306"/>
      <c r="T531" s="306"/>
      <c r="U531" s="306"/>
      <c r="V531" s="306"/>
      <c r="W531" s="306"/>
      <c r="X531" s="306"/>
      <c r="Y531" s="306"/>
      <c r="Z531" s="306"/>
    </row>
    <row r="532" spans="1:26" x14ac:dyDescent="0.35">
      <c r="A532" s="306"/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N532" s="306"/>
      <c r="O532" s="306"/>
      <c r="P532" s="306"/>
      <c r="Q532" s="306"/>
      <c r="R532" s="306"/>
      <c r="S532" s="306"/>
      <c r="T532" s="306"/>
      <c r="U532" s="306"/>
      <c r="V532" s="306"/>
      <c r="W532" s="306"/>
      <c r="X532" s="306"/>
      <c r="Y532" s="306"/>
      <c r="Z532" s="306"/>
    </row>
    <row r="533" spans="1:26" x14ac:dyDescent="0.35">
      <c r="A533" s="306"/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N533" s="306"/>
      <c r="O533" s="306"/>
      <c r="P533" s="306"/>
      <c r="Q533" s="306"/>
      <c r="R533" s="306"/>
      <c r="S533" s="306"/>
      <c r="T533" s="306"/>
      <c r="U533" s="306"/>
      <c r="V533" s="306"/>
      <c r="W533" s="306"/>
      <c r="X533" s="306"/>
      <c r="Y533" s="306"/>
      <c r="Z533" s="306"/>
    </row>
    <row r="534" spans="1:26" x14ac:dyDescent="0.35">
      <c r="A534" s="306"/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N534" s="306"/>
      <c r="O534" s="306"/>
      <c r="P534" s="306"/>
      <c r="Q534" s="306"/>
      <c r="R534" s="306"/>
      <c r="S534" s="306"/>
      <c r="T534" s="306"/>
      <c r="U534" s="306"/>
      <c r="V534" s="306"/>
      <c r="W534" s="306"/>
      <c r="X534" s="306"/>
      <c r="Y534" s="306"/>
      <c r="Z534" s="306"/>
    </row>
    <row r="535" spans="1:26" x14ac:dyDescent="0.35">
      <c r="A535" s="306"/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N535" s="306"/>
      <c r="O535" s="306"/>
      <c r="P535" s="306"/>
      <c r="Q535" s="306"/>
      <c r="R535" s="306"/>
      <c r="S535" s="306"/>
      <c r="T535" s="306"/>
      <c r="U535" s="306"/>
      <c r="V535" s="306"/>
      <c r="W535" s="306"/>
      <c r="X535" s="306"/>
      <c r="Y535" s="306"/>
      <c r="Z535" s="306"/>
    </row>
    <row r="536" spans="1:26" x14ac:dyDescent="0.35">
      <c r="A536" s="306"/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N536" s="306"/>
      <c r="O536" s="306"/>
      <c r="P536" s="306"/>
      <c r="Q536" s="306"/>
      <c r="R536" s="306"/>
      <c r="S536" s="306"/>
      <c r="T536" s="306"/>
      <c r="U536" s="306"/>
      <c r="V536" s="306"/>
      <c r="W536" s="306"/>
      <c r="X536" s="306"/>
      <c r="Y536" s="306"/>
      <c r="Z536" s="306"/>
    </row>
    <row r="537" spans="1:26" x14ac:dyDescent="0.35">
      <c r="A537" s="306"/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N537" s="306"/>
      <c r="O537" s="306"/>
      <c r="P537" s="306"/>
      <c r="Q537" s="306"/>
      <c r="R537" s="306"/>
      <c r="S537" s="306"/>
      <c r="T537" s="306"/>
      <c r="U537" s="306"/>
      <c r="V537" s="306"/>
      <c r="W537" s="306"/>
      <c r="X537" s="306"/>
      <c r="Y537" s="306"/>
      <c r="Z537" s="306"/>
    </row>
    <row r="538" spans="1:26" x14ac:dyDescent="0.35">
      <c r="A538" s="306"/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N538" s="306"/>
      <c r="O538" s="306"/>
      <c r="P538" s="306"/>
      <c r="Q538" s="306"/>
      <c r="R538" s="306"/>
      <c r="S538" s="306"/>
      <c r="T538" s="306"/>
      <c r="U538" s="306"/>
      <c r="V538" s="306"/>
      <c r="W538" s="306"/>
      <c r="X538" s="306"/>
      <c r="Y538" s="306"/>
      <c r="Z538" s="306"/>
    </row>
    <row r="539" spans="1:26" x14ac:dyDescent="0.35">
      <c r="A539" s="306"/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N539" s="306"/>
      <c r="O539" s="306"/>
      <c r="P539" s="306"/>
      <c r="Q539" s="306"/>
      <c r="R539" s="306"/>
      <c r="S539" s="306"/>
      <c r="T539" s="306"/>
      <c r="U539" s="306"/>
      <c r="V539" s="306"/>
      <c r="W539" s="306"/>
      <c r="X539" s="306"/>
      <c r="Y539" s="306"/>
      <c r="Z539" s="306"/>
    </row>
    <row r="540" spans="1:26" x14ac:dyDescent="0.35">
      <c r="A540" s="306"/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N540" s="306"/>
      <c r="O540" s="306"/>
      <c r="P540" s="306"/>
      <c r="Q540" s="306"/>
      <c r="R540" s="306"/>
      <c r="S540" s="306"/>
      <c r="T540" s="306"/>
      <c r="U540" s="306"/>
      <c r="V540" s="306"/>
      <c r="W540" s="306"/>
      <c r="X540" s="306"/>
      <c r="Y540" s="306"/>
      <c r="Z540" s="306"/>
    </row>
    <row r="541" spans="1:26" x14ac:dyDescent="0.35">
      <c r="A541" s="306"/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N541" s="306"/>
      <c r="O541" s="306"/>
      <c r="P541" s="306"/>
      <c r="Q541" s="306"/>
      <c r="R541" s="306"/>
      <c r="S541" s="306"/>
      <c r="T541" s="306"/>
      <c r="U541" s="306"/>
      <c r="V541" s="306"/>
      <c r="W541" s="306"/>
      <c r="X541" s="306"/>
      <c r="Y541" s="306"/>
      <c r="Z541" s="306"/>
    </row>
    <row r="542" spans="1:26" x14ac:dyDescent="0.35">
      <c r="A542" s="306"/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N542" s="306"/>
      <c r="O542" s="306"/>
      <c r="P542" s="306"/>
      <c r="Q542" s="306"/>
      <c r="R542" s="306"/>
      <c r="S542" s="306"/>
      <c r="T542" s="306"/>
      <c r="U542" s="306"/>
      <c r="V542" s="306"/>
      <c r="W542" s="306"/>
      <c r="X542" s="306"/>
      <c r="Y542" s="306"/>
      <c r="Z542" s="306"/>
    </row>
    <row r="543" spans="1:26" x14ac:dyDescent="0.35">
      <c r="A543" s="306"/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N543" s="306"/>
      <c r="O543" s="306"/>
      <c r="P543" s="306"/>
      <c r="Q543" s="306"/>
      <c r="R543" s="306"/>
      <c r="S543" s="306"/>
      <c r="T543" s="306"/>
      <c r="U543" s="306"/>
      <c r="V543" s="306"/>
      <c r="W543" s="306"/>
      <c r="X543" s="306"/>
      <c r="Y543" s="306"/>
      <c r="Z543" s="306"/>
    </row>
    <row r="544" spans="1:26" x14ac:dyDescent="0.35">
      <c r="A544" s="306"/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N544" s="306"/>
      <c r="O544" s="306"/>
      <c r="P544" s="306"/>
      <c r="Q544" s="306"/>
      <c r="R544" s="306"/>
      <c r="S544" s="306"/>
      <c r="T544" s="306"/>
      <c r="U544" s="306"/>
      <c r="V544" s="306"/>
      <c r="W544" s="306"/>
      <c r="X544" s="306"/>
      <c r="Y544" s="306"/>
      <c r="Z544" s="306"/>
    </row>
    <row r="545" spans="1:26" x14ac:dyDescent="0.35">
      <c r="A545" s="306"/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N545" s="306"/>
      <c r="O545" s="306"/>
      <c r="P545" s="306"/>
      <c r="Q545" s="306"/>
      <c r="R545" s="306"/>
      <c r="S545" s="306"/>
      <c r="T545" s="306"/>
      <c r="U545" s="306"/>
      <c r="V545" s="306"/>
      <c r="W545" s="306"/>
      <c r="X545" s="306"/>
      <c r="Y545" s="306"/>
      <c r="Z545" s="306"/>
    </row>
    <row r="546" spans="1:26" x14ac:dyDescent="0.35">
      <c r="A546" s="306"/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N546" s="306"/>
      <c r="O546" s="306"/>
      <c r="P546" s="306"/>
      <c r="Q546" s="306"/>
      <c r="R546" s="306"/>
      <c r="S546" s="306"/>
      <c r="T546" s="306"/>
      <c r="U546" s="306"/>
      <c r="V546" s="306"/>
      <c r="W546" s="306"/>
      <c r="X546" s="306"/>
      <c r="Y546" s="306"/>
      <c r="Z546" s="306"/>
    </row>
    <row r="547" spans="1:26" x14ac:dyDescent="0.35">
      <c r="A547" s="306"/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N547" s="306"/>
      <c r="O547" s="306"/>
      <c r="P547" s="306"/>
      <c r="Q547" s="306"/>
      <c r="R547" s="306"/>
      <c r="S547" s="306"/>
      <c r="T547" s="306"/>
      <c r="U547" s="306"/>
      <c r="V547" s="306"/>
      <c r="W547" s="306"/>
      <c r="X547" s="306"/>
      <c r="Y547" s="306"/>
      <c r="Z547" s="306"/>
    </row>
    <row r="548" spans="1:26" x14ac:dyDescent="0.35">
      <c r="A548" s="306"/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N548" s="306"/>
      <c r="O548" s="306"/>
      <c r="P548" s="306"/>
      <c r="Q548" s="306"/>
      <c r="R548" s="306"/>
      <c r="S548" s="306"/>
      <c r="T548" s="306"/>
      <c r="U548" s="306"/>
      <c r="V548" s="306"/>
      <c r="W548" s="306"/>
      <c r="X548" s="306"/>
      <c r="Y548" s="306"/>
      <c r="Z548" s="306"/>
    </row>
    <row r="549" spans="1:26" x14ac:dyDescent="0.35">
      <c r="A549" s="306"/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N549" s="306"/>
      <c r="O549" s="306"/>
      <c r="P549" s="306"/>
      <c r="Q549" s="306"/>
      <c r="R549" s="306"/>
      <c r="S549" s="306"/>
      <c r="T549" s="306"/>
      <c r="U549" s="306"/>
      <c r="V549" s="306"/>
      <c r="W549" s="306"/>
      <c r="X549" s="306"/>
      <c r="Y549" s="306"/>
      <c r="Z549" s="306"/>
    </row>
    <row r="550" spans="1:26" x14ac:dyDescent="0.35">
      <c r="A550" s="306"/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N550" s="306"/>
      <c r="O550" s="306"/>
      <c r="P550" s="306"/>
      <c r="Q550" s="306"/>
      <c r="R550" s="306"/>
      <c r="S550" s="306"/>
      <c r="T550" s="306"/>
      <c r="U550" s="306"/>
      <c r="V550" s="306"/>
      <c r="W550" s="306"/>
      <c r="X550" s="306"/>
      <c r="Y550" s="306"/>
      <c r="Z550" s="306"/>
    </row>
    <row r="551" spans="1:26" x14ac:dyDescent="0.35">
      <c r="A551" s="306"/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N551" s="306"/>
      <c r="O551" s="306"/>
      <c r="P551" s="306"/>
      <c r="Q551" s="306"/>
      <c r="R551" s="306"/>
      <c r="S551" s="306"/>
      <c r="T551" s="306"/>
      <c r="U551" s="306"/>
      <c r="V551" s="306"/>
      <c r="W551" s="306"/>
      <c r="X551" s="306"/>
      <c r="Y551" s="306"/>
      <c r="Z551" s="306"/>
    </row>
    <row r="552" spans="1:26" x14ac:dyDescent="0.35">
      <c r="A552" s="306"/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N552" s="306"/>
      <c r="O552" s="306"/>
      <c r="P552" s="306"/>
      <c r="Q552" s="306"/>
      <c r="R552" s="306"/>
      <c r="S552" s="306"/>
      <c r="T552" s="306"/>
      <c r="U552" s="306"/>
      <c r="V552" s="306"/>
      <c r="W552" s="306"/>
      <c r="X552" s="306"/>
      <c r="Y552" s="306"/>
      <c r="Z552" s="306"/>
    </row>
    <row r="553" spans="1:26" x14ac:dyDescent="0.35">
      <c r="A553" s="306"/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N553" s="306"/>
      <c r="O553" s="306"/>
      <c r="P553" s="306"/>
      <c r="Q553" s="306"/>
      <c r="R553" s="306"/>
      <c r="S553" s="306"/>
      <c r="T553" s="306"/>
      <c r="U553" s="306"/>
      <c r="V553" s="306"/>
      <c r="W553" s="306"/>
      <c r="X553" s="306"/>
      <c r="Y553" s="306"/>
      <c r="Z553" s="306"/>
    </row>
    <row r="554" spans="1:26" x14ac:dyDescent="0.35">
      <c r="A554" s="306"/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N554" s="306"/>
      <c r="O554" s="306"/>
      <c r="P554" s="306"/>
      <c r="Q554" s="306"/>
      <c r="R554" s="306"/>
      <c r="S554" s="306"/>
      <c r="T554" s="306"/>
      <c r="U554" s="306"/>
      <c r="V554" s="306"/>
      <c r="W554" s="306"/>
      <c r="X554" s="306"/>
      <c r="Y554" s="306"/>
      <c r="Z554" s="306"/>
    </row>
    <row r="555" spans="1:26" x14ac:dyDescent="0.35">
      <c r="A555" s="306"/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N555" s="306"/>
      <c r="O555" s="306"/>
      <c r="P555" s="306"/>
      <c r="Q555" s="306"/>
      <c r="R555" s="306"/>
      <c r="S555" s="306"/>
      <c r="T555" s="306"/>
      <c r="U555" s="306"/>
      <c r="V555" s="306"/>
      <c r="W555" s="306"/>
      <c r="X555" s="306"/>
      <c r="Y555" s="306"/>
      <c r="Z555" s="306"/>
    </row>
    <row r="556" spans="1:26" x14ac:dyDescent="0.35">
      <c r="A556" s="306"/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N556" s="306"/>
      <c r="O556" s="306"/>
      <c r="P556" s="306"/>
      <c r="Q556" s="306"/>
      <c r="R556" s="306"/>
      <c r="S556" s="306"/>
      <c r="T556" s="306"/>
      <c r="U556" s="306"/>
      <c r="V556" s="306"/>
      <c r="W556" s="306"/>
      <c r="X556" s="306"/>
      <c r="Y556" s="306"/>
      <c r="Z556" s="306"/>
    </row>
    <row r="557" spans="1:26" x14ac:dyDescent="0.35">
      <c r="A557" s="306"/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N557" s="306"/>
      <c r="O557" s="306"/>
      <c r="P557" s="306"/>
      <c r="Q557" s="306"/>
      <c r="R557" s="306"/>
      <c r="S557" s="306"/>
      <c r="T557" s="306"/>
      <c r="U557" s="306"/>
      <c r="V557" s="306"/>
      <c r="W557" s="306"/>
      <c r="X557" s="306"/>
      <c r="Y557" s="306"/>
      <c r="Z557" s="306"/>
    </row>
    <row r="558" spans="1:26" x14ac:dyDescent="0.35">
      <c r="A558" s="306"/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N558" s="306"/>
      <c r="O558" s="306"/>
      <c r="P558" s="306"/>
      <c r="Q558" s="306"/>
      <c r="R558" s="306"/>
      <c r="S558" s="306"/>
      <c r="T558" s="306"/>
      <c r="U558" s="306"/>
      <c r="V558" s="306"/>
      <c r="W558" s="306"/>
      <c r="X558" s="306"/>
      <c r="Y558" s="306"/>
      <c r="Z558" s="306"/>
    </row>
    <row r="559" spans="1:26" x14ac:dyDescent="0.35">
      <c r="A559" s="306"/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N559" s="306"/>
      <c r="O559" s="306"/>
      <c r="P559" s="306"/>
      <c r="Q559" s="306"/>
      <c r="R559" s="306"/>
      <c r="S559" s="306"/>
      <c r="T559" s="306"/>
      <c r="U559" s="306"/>
      <c r="V559" s="306"/>
      <c r="W559" s="306"/>
      <c r="X559" s="306"/>
      <c r="Y559" s="306"/>
      <c r="Z559" s="306"/>
    </row>
    <row r="560" spans="1:26" x14ac:dyDescent="0.35">
      <c r="A560" s="306"/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N560" s="306"/>
      <c r="O560" s="306"/>
      <c r="P560" s="306"/>
      <c r="Q560" s="306"/>
      <c r="R560" s="306"/>
      <c r="S560" s="306"/>
      <c r="T560" s="306"/>
      <c r="U560" s="306"/>
      <c r="V560" s="306"/>
      <c r="W560" s="306"/>
      <c r="X560" s="306"/>
      <c r="Y560" s="306"/>
      <c r="Z560" s="306"/>
    </row>
    <row r="561" spans="1:26" x14ac:dyDescent="0.35">
      <c r="A561" s="306"/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N561" s="306"/>
      <c r="O561" s="306"/>
      <c r="P561" s="306"/>
      <c r="Q561" s="306"/>
      <c r="R561" s="306"/>
      <c r="S561" s="306"/>
      <c r="T561" s="306"/>
      <c r="U561" s="306"/>
      <c r="V561" s="306"/>
      <c r="W561" s="306"/>
      <c r="X561" s="306"/>
      <c r="Y561" s="306"/>
      <c r="Z561" s="306"/>
    </row>
    <row r="562" spans="1:26" x14ac:dyDescent="0.35">
      <c r="A562" s="306"/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N562" s="306"/>
      <c r="O562" s="306"/>
      <c r="P562" s="306"/>
      <c r="Q562" s="306"/>
      <c r="R562" s="306"/>
      <c r="S562" s="306"/>
      <c r="T562" s="306"/>
      <c r="U562" s="306"/>
      <c r="V562" s="306"/>
      <c r="W562" s="306"/>
      <c r="X562" s="306"/>
      <c r="Y562" s="306"/>
      <c r="Z562" s="306"/>
    </row>
    <row r="563" spans="1:26" x14ac:dyDescent="0.35">
      <c r="A563" s="306"/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N563" s="306"/>
      <c r="O563" s="306"/>
      <c r="P563" s="306"/>
      <c r="Q563" s="306"/>
      <c r="R563" s="306"/>
      <c r="S563" s="306"/>
      <c r="T563" s="306"/>
      <c r="U563" s="306"/>
      <c r="V563" s="306"/>
      <c r="W563" s="306"/>
      <c r="X563" s="306"/>
      <c r="Y563" s="306"/>
      <c r="Z563" s="306"/>
    </row>
    <row r="564" spans="1:26" x14ac:dyDescent="0.35">
      <c r="A564" s="306"/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N564" s="306"/>
      <c r="O564" s="306"/>
      <c r="P564" s="306"/>
      <c r="Q564" s="306"/>
      <c r="R564" s="306"/>
      <c r="S564" s="306"/>
      <c r="T564" s="306"/>
      <c r="U564" s="306"/>
      <c r="V564" s="306"/>
      <c r="W564" s="306"/>
      <c r="X564" s="306"/>
      <c r="Y564" s="306"/>
      <c r="Z564" s="306"/>
    </row>
    <row r="565" spans="1:26" x14ac:dyDescent="0.35">
      <c r="A565" s="306"/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N565" s="306"/>
      <c r="O565" s="306"/>
      <c r="P565" s="306"/>
      <c r="Q565" s="306"/>
      <c r="R565" s="306"/>
      <c r="S565" s="306"/>
      <c r="T565" s="306"/>
      <c r="U565" s="306"/>
      <c r="V565" s="306"/>
      <c r="W565" s="306"/>
      <c r="X565" s="306"/>
      <c r="Y565" s="306"/>
      <c r="Z565" s="306"/>
    </row>
    <row r="566" spans="1:26" x14ac:dyDescent="0.35">
      <c r="A566" s="306"/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N566" s="306"/>
      <c r="O566" s="306"/>
      <c r="P566" s="306"/>
      <c r="Q566" s="306"/>
      <c r="R566" s="306"/>
      <c r="S566" s="306"/>
      <c r="T566" s="306"/>
      <c r="U566" s="306"/>
      <c r="V566" s="306"/>
      <c r="W566" s="306"/>
      <c r="X566" s="306"/>
      <c r="Y566" s="306"/>
      <c r="Z566" s="306"/>
    </row>
    <row r="567" spans="1:26" x14ac:dyDescent="0.35">
      <c r="A567" s="306"/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N567" s="306"/>
      <c r="O567" s="306"/>
      <c r="P567" s="306"/>
      <c r="Q567" s="306"/>
      <c r="R567" s="306"/>
      <c r="S567" s="306"/>
      <c r="T567" s="306"/>
      <c r="U567" s="306"/>
      <c r="V567" s="306"/>
      <c r="W567" s="306"/>
      <c r="X567" s="306"/>
      <c r="Y567" s="306"/>
      <c r="Z567" s="306"/>
    </row>
    <row r="568" spans="1:26" x14ac:dyDescent="0.35">
      <c r="A568" s="306"/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N568" s="306"/>
      <c r="O568" s="306"/>
      <c r="P568" s="306"/>
      <c r="Q568" s="306"/>
      <c r="R568" s="306"/>
      <c r="S568" s="306"/>
      <c r="T568" s="306"/>
      <c r="U568" s="306"/>
      <c r="V568" s="306"/>
      <c r="W568" s="306"/>
      <c r="X568" s="306"/>
      <c r="Y568" s="306"/>
      <c r="Z568" s="306"/>
    </row>
    <row r="569" spans="1:26" x14ac:dyDescent="0.35">
      <c r="A569" s="306"/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N569" s="306"/>
      <c r="O569" s="306"/>
      <c r="P569" s="306"/>
      <c r="Q569" s="306"/>
      <c r="R569" s="306"/>
      <c r="S569" s="306"/>
      <c r="T569" s="306"/>
      <c r="U569" s="306"/>
      <c r="V569" s="306"/>
      <c r="W569" s="306"/>
      <c r="X569" s="306"/>
      <c r="Y569" s="306"/>
      <c r="Z569" s="306"/>
    </row>
    <row r="570" spans="1:26" x14ac:dyDescent="0.35">
      <c r="A570" s="306"/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N570" s="306"/>
      <c r="O570" s="306"/>
      <c r="P570" s="306"/>
      <c r="Q570" s="306"/>
      <c r="R570" s="306"/>
      <c r="S570" s="306"/>
      <c r="T570" s="306"/>
      <c r="U570" s="306"/>
      <c r="V570" s="306"/>
      <c r="W570" s="306"/>
      <c r="X570" s="306"/>
      <c r="Y570" s="306"/>
      <c r="Z570" s="306"/>
    </row>
    <row r="571" spans="1:26" x14ac:dyDescent="0.35">
      <c r="A571" s="306"/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N571" s="306"/>
      <c r="O571" s="306"/>
      <c r="P571" s="306"/>
      <c r="Q571" s="306"/>
      <c r="R571" s="306"/>
      <c r="S571" s="306"/>
      <c r="T571" s="306"/>
      <c r="U571" s="306"/>
      <c r="V571" s="306"/>
      <c r="W571" s="306"/>
      <c r="X571" s="306"/>
      <c r="Y571" s="306"/>
      <c r="Z571" s="306"/>
    </row>
    <row r="572" spans="1:26" x14ac:dyDescent="0.35">
      <c r="A572" s="306"/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N572" s="306"/>
      <c r="O572" s="306"/>
      <c r="P572" s="306"/>
      <c r="Q572" s="306"/>
      <c r="R572" s="306"/>
      <c r="S572" s="306"/>
      <c r="T572" s="306"/>
      <c r="U572" s="306"/>
      <c r="V572" s="306"/>
      <c r="W572" s="306"/>
      <c r="X572" s="306"/>
      <c r="Y572" s="306"/>
      <c r="Z572" s="306"/>
    </row>
    <row r="573" spans="1:26" x14ac:dyDescent="0.35">
      <c r="A573" s="306"/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N573" s="306"/>
      <c r="O573" s="306"/>
      <c r="P573" s="306"/>
      <c r="Q573" s="306"/>
      <c r="R573" s="306"/>
      <c r="S573" s="306"/>
      <c r="T573" s="306"/>
      <c r="U573" s="306"/>
      <c r="V573" s="306"/>
      <c r="W573" s="306"/>
      <c r="X573" s="306"/>
      <c r="Y573" s="306"/>
      <c r="Z573" s="306"/>
    </row>
    <row r="574" spans="1:26" x14ac:dyDescent="0.35">
      <c r="A574" s="306"/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N574" s="306"/>
      <c r="O574" s="306"/>
      <c r="P574" s="306"/>
      <c r="Q574" s="306"/>
      <c r="R574" s="306"/>
      <c r="S574" s="306"/>
      <c r="T574" s="306"/>
      <c r="U574" s="306"/>
      <c r="V574" s="306"/>
      <c r="W574" s="306"/>
      <c r="X574" s="306"/>
      <c r="Y574" s="306"/>
      <c r="Z574" s="306"/>
    </row>
    <row r="575" spans="1:26" x14ac:dyDescent="0.35">
      <c r="A575" s="306"/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N575" s="306"/>
      <c r="O575" s="306"/>
      <c r="P575" s="306"/>
      <c r="Q575" s="306"/>
      <c r="R575" s="306"/>
      <c r="S575" s="306"/>
      <c r="T575" s="306"/>
      <c r="U575" s="306"/>
      <c r="V575" s="306"/>
      <c r="W575" s="306"/>
      <c r="X575" s="306"/>
      <c r="Y575" s="306"/>
      <c r="Z575" s="306"/>
    </row>
    <row r="576" spans="1:26" x14ac:dyDescent="0.35">
      <c r="A576" s="306"/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6"/>
      <c r="O576" s="306"/>
      <c r="P576" s="306"/>
      <c r="Q576" s="306"/>
      <c r="R576" s="306"/>
      <c r="S576" s="306"/>
      <c r="T576" s="306"/>
      <c r="U576" s="306"/>
      <c r="V576" s="306"/>
      <c r="W576" s="306"/>
      <c r="X576" s="306"/>
      <c r="Y576" s="306"/>
      <c r="Z576" s="306"/>
    </row>
    <row r="577" spans="1:26" x14ac:dyDescent="0.35">
      <c r="A577" s="306"/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N577" s="306"/>
      <c r="O577" s="306"/>
      <c r="P577" s="306"/>
      <c r="Q577" s="306"/>
      <c r="R577" s="306"/>
      <c r="S577" s="306"/>
      <c r="T577" s="306"/>
      <c r="U577" s="306"/>
      <c r="V577" s="306"/>
      <c r="W577" s="306"/>
      <c r="X577" s="306"/>
      <c r="Y577" s="306"/>
      <c r="Z577" s="306"/>
    </row>
    <row r="578" spans="1:26" x14ac:dyDescent="0.35">
      <c r="A578" s="306"/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N578" s="306"/>
      <c r="O578" s="306"/>
      <c r="P578" s="306"/>
      <c r="Q578" s="306"/>
      <c r="R578" s="306"/>
      <c r="S578" s="306"/>
      <c r="T578" s="306"/>
      <c r="U578" s="306"/>
      <c r="V578" s="306"/>
      <c r="W578" s="306"/>
      <c r="X578" s="306"/>
      <c r="Y578" s="306"/>
      <c r="Z578" s="306"/>
    </row>
    <row r="579" spans="1:26" x14ac:dyDescent="0.35">
      <c r="A579" s="306"/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N579" s="306"/>
      <c r="O579" s="306"/>
      <c r="P579" s="306"/>
      <c r="Q579" s="306"/>
      <c r="R579" s="306"/>
      <c r="S579" s="306"/>
      <c r="T579" s="306"/>
      <c r="U579" s="306"/>
      <c r="V579" s="306"/>
      <c r="W579" s="306"/>
      <c r="X579" s="306"/>
      <c r="Y579" s="306"/>
      <c r="Z579" s="306"/>
    </row>
    <row r="580" spans="1:26" x14ac:dyDescent="0.35">
      <c r="A580" s="306"/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N580" s="306"/>
      <c r="O580" s="306"/>
      <c r="P580" s="306"/>
      <c r="Q580" s="306"/>
      <c r="R580" s="306"/>
      <c r="S580" s="306"/>
      <c r="T580" s="306"/>
      <c r="U580" s="306"/>
      <c r="V580" s="306"/>
      <c r="W580" s="306"/>
      <c r="X580" s="306"/>
      <c r="Y580" s="306"/>
      <c r="Z580" s="306"/>
    </row>
    <row r="581" spans="1:26" x14ac:dyDescent="0.35">
      <c r="A581" s="306"/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N581" s="306"/>
      <c r="O581" s="306"/>
      <c r="P581" s="306"/>
      <c r="Q581" s="306"/>
      <c r="R581" s="306"/>
      <c r="S581" s="306"/>
      <c r="T581" s="306"/>
      <c r="U581" s="306"/>
      <c r="V581" s="306"/>
      <c r="W581" s="306"/>
      <c r="X581" s="306"/>
      <c r="Y581" s="306"/>
      <c r="Z581" s="306"/>
    </row>
    <row r="582" spans="1:26" x14ac:dyDescent="0.35">
      <c r="A582" s="306"/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N582" s="306"/>
      <c r="O582" s="306"/>
      <c r="P582" s="306"/>
      <c r="Q582" s="306"/>
      <c r="R582" s="306"/>
      <c r="S582" s="306"/>
      <c r="T582" s="306"/>
      <c r="U582" s="306"/>
      <c r="V582" s="306"/>
      <c r="W582" s="306"/>
      <c r="X582" s="306"/>
      <c r="Y582" s="306"/>
      <c r="Z582" s="306"/>
    </row>
    <row r="583" spans="1:26" x14ac:dyDescent="0.35">
      <c r="A583" s="306"/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N583" s="306"/>
      <c r="O583" s="306"/>
      <c r="P583" s="306"/>
      <c r="Q583" s="306"/>
      <c r="R583" s="306"/>
      <c r="S583" s="306"/>
      <c r="T583" s="306"/>
      <c r="U583" s="306"/>
      <c r="V583" s="306"/>
      <c r="W583" s="306"/>
      <c r="X583" s="306"/>
      <c r="Y583" s="306"/>
      <c r="Z583" s="306"/>
    </row>
    <row r="584" spans="1:26" x14ac:dyDescent="0.35">
      <c r="A584" s="306"/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N584" s="306"/>
      <c r="O584" s="306"/>
      <c r="P584" s="306"/>
      <c r="Q584" s="306"/>
      <c r="R584" s="306"/>
      <c r="S584" s="306"/>
      <c r="T584" s="306"/>
      <c r="U584" s="306"/>
      <c r="V584" s="306"/>
      <c r="W584" s="306"/>
      <c r="X584" s="306"/>
      <c r="Y584" s="306"/>
      <c r="Z584" s="306"/>
    </row>
    <row r="585" spans="1:26" x14ac:dyDescent="0.35">
      <c r="A585" s="306"/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N585" s="306"/>
      <c r="O585" s="306"/>
      <c r="P585" s="306"/>
      <c r="Q585" s="306"/>
      <c r="R585" s="306"/>
      <c r="S585" s="306"/>
      <c r="T585" s="306"/>
      <c r="U585" s="306"/>
      <c r="V585" s="306"/>
      <c r="W585" s="306"/>
      <c r="X585" s="306"/>
      <c r="Y585" s="306"/>
      <c r="Z585" s="306"/>
    </row>
    <row r="586" spans="1:26" x14ac:dyDescent="0.35">
      <c r="A586" s="306"/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N586" s="306"/>
      <c r="O586" s="306"/>
      <c r="P586" s="306"/>
      <c r="Q586" s="306"/>
      <c r="R586" s="306"/>
      <c r="S586" s="306"/>
      <c r="T586" s="306"/>
      <c r="U586" s="306"/>
      <c r="V586" s="306"/>
      <c r="W586" s="306"/>
      <c r="X586" s="306"/>
      <c r="Y586" s="306"/>
      <c r="Z586" s="306"/>
    </row>
    <row r="587" spans="1:26" x14ac:dyDescent="0.35">
      <c r="A587" s="306"/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N587" s="306"/>
      <c r="O587" s="306"/>
      <c r="P587" s="306"/>
      <c r="Q587" s="306"/>
      <c r="R587" s="306"/>
      <c r="S587" s="306"/>
      <c r="T587" s="306"/>
      <c r="U587" s="306"/>
      <c r="V587" s="306"/>
      <c r="W587" s="306"/>
      <c r="X587" s="306"/>
      <c r="Y587" s="306"/>
      <c r="Z587" s="306"/>
    </row>
    <row r="588" spans="1:26" x14ac:dyDescent="0.35">
      <c r="A588" s="306"/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N588" s="306"/>
      <c r="O588" s="306"/>
      <c r="P588" s="306"/>
      <c r="Q588" s="306"/>
      <c r="R588" s="306"/>
      <c r="S588" s="306"/>
      <c r="T588" s="306"/>
      <c r="U588" s="306"/>
      <c r="V588" s="306"/>
      <c r="W588" s="306"/>
      <c r="X588" s="306"/>
      <c r="Y588" s="306"/>
      <c r="Z588" s="306"/>
    </row>
    <row r="589" spans="1:26" x14ac:dyDescent="0.35">
      <c r="A589" s="306"/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N589" s="306"/>
      <c r="O589" s="306"/>
      <c r="P589" s="306"/>
      <c r="Q589" s="306"/>
      <c r="R589" s="306"/>
      <c r="S589" s="306"/>
      <c r="T589" s="306"/>
      <c r="U589" s="306"/>
      <c r="V589" s="306"/>
      <c r="W589" s="306"/>
      <c r="X589" s="306"/>
      <c r="Y589" s="306"/>
      <c r="Z589" s="306"/>
    </row>
    <row r="590" spans="1:26" x14ac:dyDescent="0.35">
      <c r="A590" s="306"/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N590" s="306"/>
      <c r="O590" s="306"/>
      <c r="P590" s="306"/>
      <c r="Q590" s="306"/>
      <c r="R590" s="306"/>
      <c r="S590" s="306"/>
      <c r="T590" s="306"/>
      <c r="U590" s="306"/>
      <c r="V590" s="306"/>
      <c r="W590" s="306"/>
      <c r="X590" s="306"/>
      <c r="Y590" s="306"/>
      <c r="Z590" s="306"/>
    </row>
    <row r="591" spans="1:26" x14ac:dyDescent="0.35">
      <c r="A591" s="306"/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N591" s="306"/>
      <c r="O591" s="306"/>
      <c r="P591" s="306"/>
      <c r="Q591" s="306"/>
      <c r="R591" s="306"/>
      <c r="S591" s="306"/>
      <c r="T591" s="306"/>
      <c r="U591" s="306"/>
      <c r="V591" s="306"/>
      <c r="W591" s="306"/>
      <c r="X591" s="306"/>
      <c r="Y591" s="306"/>
      <c r="Z591" s="306"/>
    </row>
    <row r="592" spans="1:26" x14ac:dyDescent="0.35">
      <c r="A592" s="306"/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N592" s="306"/>
      <c r="O592" s="306"/>
      <c r="P592" s="306"/>
      <c r="Q592" s="306"/>
      <c r="R592" s="306"/>
      <c r="S592" s="306"/>
      <c r="T592" s="306"/>
      <c r="U592" s="306"/>
      <c r="V592" s="306"/>
      <c r="W592" s="306"/>
      <c r="X592" s="306"/>
      <c r="Y592" s="306"/>
      <c r="Z592" s="306"/>
    </row>
    <row r="593" spans="1:26" x14ac:dyDescent="0.35">
      <c r="A593" s="306"/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N593" s="306"/>
      <c r="O593" s="306"/>
      <c r="P593" s="306"/>
      <c r="Q593" s="306"/>
      <c r="R593" s="306"/>
      <c r="S593" s="306"/>
      <c r="T593" s="306"/>
      <c r="U593" s="306"/>
      <c r="V593" s="306"/>
      <c r="W593" s="306"/>
      <c r="X593" s="306"/>
      <c r="Y593" s="306"/>
      <c r="Z593" s="306"/>
    </row>
    <row r="594" spans="1:26" x14ac:dyDescent="0.35">
      <c r="A594" s="306"/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N594" s="306"/>
      <c r="O594" s="306"/>
      <c r="P594" s="306"/>
      <c r="Q594" s="306"/>
      <c r="R594" s="306"/>
      <c r="S594" s="306"/>
      <c r="T594" s="306"/>
      <c r="U594" s="306"/>
      <c r="V594" s="306"/>
      <c r="W594" s="306"/>
      <c r="X594" s="306"/>
      <c r="Y594" s="306"/>
      <c r="Z594" s="306"/>
    </row>
    <row r="595" spans="1:26" x14ac:dyDescent="0.35">
      <c r="A595" s="306"/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N595" s="306"/>
      <c r="O595" s="306"/>
      <c r="P595" s="306"/>
      <c r="Q595" s="306"/>
      <c r="R595" s="306"/>
      <c r="S595" s="306"/>
      <c r="T595" s="306"/>
      <c r="U595" s="306"/>
      <c r="V595" s="306"/>
      <c r="W595" s="306"/>
      <c r="X595" s="306"/>
      <c r="Y595" s="306"/>
      <c r="Z595" s="306"/>
    </row>
    <row r="596" spans="1:26" x14ac:dyDescent="0.35">
      <c r="A596" s="306"/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N596" s="306"/>
      <c r="O596" s="306"/>
      <c r="P596" s="306"/>
      <c r="Q596" s="306"/>
      <c r="R596" s="306"/>
      <c r="S596" s="306"/>
      <c r="T596" s="306"/>
      <c r="U596" s="306"/>
      <c r="V596" s="306"/>
      <c r="W596" s="306"/>
      <c r="X596" s="306"/>
      <c r="Y596" s="306"/>
      <c r="Z596" s="306"/>
    </row>
    <row r="597" spans="1:26" x14ac:dyDescent="0.35">
      <c r="A597" s="306"/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N597" s="306"/>
      <c r="O597" s="306"/>
      <c r="P597" s="306"/>
      <c r="Q597" s="306"/>
      <c r="R597" s="306"/>
      <c r="S597" s="306"/>
      <c r="T597" s="306"/>
      <c r="U597" s="306"/>
      <c r="V597" s="306"/>
      <c r="W597" s="306"/>
      <c r="X597" s="306"/>
      <c r="Y597" s="306"/>
      <c r="Z597" s="306"/>
    </row>
    <row r="598" spans="1:26" x14ac:dyDescent="0.35">
      <c r="A598" s="306"/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N598" s="306"/>
      <c r="O598" s="306"/>
      <c r="P598" s="306"/>
      <c r="Q598" s="306"/>
      <c r="R598" s="306"/>
      <c r="S598" s="306"/>
      <c r="T598" s="306"/>
      <c r="U598" s="306"/>
      <c r="V598" s="306"/>
      <c r="W598" s="306"/>
      <c r="X598" s="306"/>
      <c r="Y598" s="306"/>
      <c r="Z598" s="306"/>
    </row>
    <row r="599" spans="1:26" x14ac:dyDescent="0.35">
      <c r="A599" s="306"/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N599" s="306"/>
      <c r="O599" s="306"/>
      <c r="P599" s="306"/>
      <c r="Q599" s="306"/>
      <c r="R599" s="306"/>
      <c r="S599" s="306"/>
      <c r="T599" s="306"/>
      <c r="U599" s="306"/>
      <c r="V599" s="306"/>
      <c r="W599" s="306"/>
      <c r="X599" s="306"/>
      <c r="Y599" s="306"/>
      <c r="Z599" s="306"/>
    </row>
    <row r="600" spans="1:26" x14ac:dyDescent="0.35">
      <c r="A600" s="306"/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N600" s="306"/>
      <c r="O600" s="306"/>
      <c r="P600" s="306"/>
      <c r="Q600" s="306"/>
      <c r="R600" s="306"/>
      <c r="S600" s="306"/>
      <c r="T600" s="306"/>
      <c r="U600" s="306"/>
      <c r="V600" s="306"/>
      <c r="W600" s="306"/>
      <c r="X600" s="306"/>
      <c r="Y600" s="306"/>
      <c r="Z600" s="306"/>
    </row>
    <row r="601" spans="1:26" x14ac:dyDescent="0.35">
      <c r="A601" s="306"/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N601" s="306"/>
      <c r="O601" s="306"/>
      <c r="P601" s="306"/>
      <c r="Q601" s="306"/>
      <c r="R601" s="306"/>
      <c r="S601" s="306"/>
      <c r="T601" s="306"/>
      <c r="U601" s="306"/>
      <c r="V601" s="306"/>
      <c r="W601" s="306"/>
      <c r="X601" s="306"/>
      <c r="Y601" s="306"/>
      <c r="Z601" s="306"/>
    </row>
    <row r="602" spans="1:26" x14ac:dyDescent="0.35">
      <c r="A602" s="306"/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N602" s="306"/>
      <c r="O602" s="306"/>
      <c r="P602" s="306"/>
      <c r="Q602" s="306"/>
      <c r="R602" s="306"/>
      <c r="S602" s="306"/>
      <c r="T602" s="306"/>
      <c r="U602" s="306"/>
      <c r="V602" s="306"/>
      <c r="W602" s="306"/>
      <c r="X602" s="306"/>
      <c r="Y602" s="306"/>
      <c r="Z602" s="306"/>
    </row>
    <row r="603" spans="1:26" x14ac:dyDescent="0.35">
      <c r="A603" s="306"/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N603" s="306"/>
      <c r="O603" s="306"/>
      <c r="P603" s="306"/>
      <c r="Q603" s="306"/>
      <c r="R603" s="306"/>
      <c r="S603" s="306"/>
      <c r="T603" s="306"/>
      <c r="U603" s="306"/>
      <c r="V603" s="306"/>
      <c r="W603" s="306"/>
      <c r="X603" s="306"/>
      <c r="Y603" s="306"/>
      <c r="Z603" s="306"/>
    </row>
    <row r="604" spans="1:26" x14ac:dyDescent="0.35">
      <c r="A604" s="306"/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N604" s="306"/>
      <c r="O604" s="306"/>
      <c r="P604" s="306"/>
      <c r="Q604" s="306"/>
      <c r="R604" s="306"/>
      <c r="S604" s="306"/>
      <c r="T604" s="306"/>
      <c r="U604" s="306"/>
      <c r="V604" s="306"/>
      <c r="W604" s="306"/>
      <c r="X604" s="306"/>
      <c r="Y604" s="306"/>
      <c r="Z604" s="306"/>
    </row>
    <row r="605" spans="1:26" x14ac:dyDescent="0.35">
      <c r="A605" s="306"/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N605" s="306"/>
      <c r="O605" s="306"/>
      <c r="P605" s="306"/>
      <c r="Q605" s="306"/>
      <c r="R605" s="306"/>
      <c r="S605" s="306"/>
      <c r="T605" s="306"/>
      <c r="U605" s="306"/>
      <c r="V605" s="306"/>
      <c r="W605" s="306"/>
      <c r="X605" s="306"/>
      <c r="Y605" s="306"/>
      <c r="Z605" s="306"/>
    </row>
    <row r="606" spans="1:26" x14ac:dyDescent="0.35">
      <c r="A606" s="306"/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N606" s="306"/>
      <c r="O606" s="306"/>
      <c r="P606" s="306"/>
      <c r="Q606" s="306"/>
      <c r="R606" s="306"/>
      <c r="S606" s="306"/>
      <c r="T606" s="306"/>
      <c r="U606" s="306"/>
      <c r="V606" s="306"/>
      <c r="W606" s="306"/>
      <c r="X606" s="306"/>
      <c r="Y606" s="306"/>
      <c r="Z606" s="306"/>
    </row>
    <row r="607" spans="1:26" x14ac:dyDescent="0.35">
      <c r="A607" s="306"/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N607" s="306"/>
      <c r="O607" s="306"/>
      <c r="P607" s="306"/>
      <c r="Q607" s="306"/>
      <c r="R607" s="306"/>
      <c r="S607" s="306"/>
      <c r="T607" s="306"/>
      <c r="U607" s="306"/>
      <c r="V607" s="306"/>
      <c r="W607" s="306"/>
      <c r="X607" s="306"/>
      <c r="Y607" s="306"/>
      <c r="Z607" s="306"/>
    </row>
    <row r="608" spans="1:26" x14ac:dyDescent="0.35">
      <c r="A608" s="306"/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N608" s="306"/>
      <c r="O608" s="306"/>
      <c r="P608" s="306"/>
      <c r="Q608" s="306"/>
      <c r="R608" s="306"/>
      <c r="S608" s="306"/>
      <c r="T608" s="306"/>
      <c r="U608" s="306"/>
      <c r="V608" s="306"/>
      <c r="W608" s="306"/>
      <c r="X608" s="306"/>
      <c r="Y608" s="306"/>
      <c r="Z608" s="306"/>
    </row>
    <row r="609" spans="1:26" x14ac:dyDescent="0.35">
      <c r="A609" s="306"/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N609" s="306"/>
      <c r="O609" s="306"/>
      <c r="P609" s="306"/>
      <c r="Q609" s="306"/>
      <c r="R609" s="306"/>
      <c r="S609" s="306"/>
      <c r="T609" s="306"/>
      <c r="U609" s="306"/>
      <c r="V609" s="306"/>
      <c r="W609" s="306"/>
      <c r="X609" s="306"/>
      <c r="Y609" s="306"/>
      <c r="Z609" s="306"/>
    </row>
    <row r="610" spans="1:26" x14ac:dyDescent="0.35">
      <c r="A610" s="306"/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N610" s="306"/>
      <c r="O610" s="306"/>
      <c r="P610" s="306"/>
      <c r="Q610" s="306"/>
      <c r="R610" s="306"/>
      <c r="S610" s="306"/>
      <c r="T610" s="306"/>
      <c r="U610" s="306"/>
      <c r="V610" s="306"/>
      <c r="W610" s="306"/>
      <c r="X610" s="306"/>
      <c r="Y610" s="306"/>
      <c r="Z610" s="306"/>
    </row>
    <row r="611" spans="1:26" x14ac:dyDescent="0.35">
      <c r="A611" s="306"/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N611" s="306"/>
      <c r="O611" s="306"/>
      <c r="P611" s="306"/>
      <c r="Q611" s="306"/>
      <c r="R611" s="306"/>
      <c r="S611" s="306"/>
      <c r="T611" s="306"/>
      <c r="U611" s="306"/>
      <c r="V611" s="306"/>
      <c r="W611" s="306"/>
      <c r="X611" s="306"/>
      <c r="Y611" s="306"/>
      <c r="Z611" s="306"/>
    </row>
    <row r="612" spans="1:26" x14ac:dyDescent="0.35">
      <c r="A612" s="306"/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N612" s="306"/>
      <c r="O612" s="306"/>
      <c r="P612" s="306"/>
      <c r="Q612" s="306"/>
      <c r="R612" s="306"/>
      <c r="S612" s="306"/>
      <c r="T612" s="306"/>
      <c r="U612" s="306"/>
      <c r="V612" s="306"/>
      <c r="W612" s="306"/>
      <c r="X612" s="306"/>
      <c r="Y612" s="306"/>
      <c r="Z612" s="306"/>
    </row>
    <row r="613" spans="1:26" x14ac:dyDescent="0.35">
      <c r="A613" s="306"/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N613" s="306"/>
      <c r="O613" s="306"/>
      <c r="P613" s="306"/>
      <c r="Q613" s="306"/>
      <c r="R613" s="306"/>
      <c r="S613" s="306"/>
      <c r="T613" s="306"/>
      <c r="U613" s="306"/>
      <c r="V613" s="306"/>
      <c r="W613" s="306"/>
      <c r="X613" s="306"/>
      <c r="Y613" s="306"/>
      <c r="Z613" s="306"/>
    </row>
    <row r="614" spans="1:26" x14ac:dyDescent="0.35">
      <c r="A614" s="306"/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N614" s="306"/>
      <c r="O614" s="306"/>
      <c r="P614" s="306"/>
      <c r="Q614" s="306"/>
      <c r="R614" s="306"/>
      <c r="S614" s="306"/>
      <c r="T614" s="306"/>
      <c r="U614" s="306"/>
      <c r="V614" s="306"/>
      <c r="W614" s="306"/>
      <c r="X614" s="306"/>
      <c r="Y614" s="306"/>
      <c r="Z614" s="306"/>
    </row>
    <row r="615" spans="1:26" x14ac:dyDescent="0.35">
      <c r="A615" s="306"/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N615" s="306"/>
      <c r="O615" s="306"/>
      <c r="P615" s="306"/>
      <c r="Q615" s="306"/>
      <c r="R615" s="306"/>
      <c r="S615" s="306"/>
      <c r="T615" s="306"/>
      <c r="U615" s="306"/>
      <c r="V615" s="306"/>
      <c r="W615" s="306"/>
      <c r="X615" s="306"/>
      <c r="Y615" s="306"/>
      <c r="Z615" s="306"/>
    </row>
    <row r="616" spans="1:26" x14ac:dyDescent="0.35">
      <c r="A616" s="306"/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N616" s="306"/>
      <c r="O616" s="306"/>
      <c r="P616" s="306"/>
      <c r="Q616" s="306"/>
      <c r="R616" s="306"/>
      <c r="S616" s="306"/>
      <c r="T616" s="306"/>
      <c r="U616" s="306"/>
      <c r="V616" s="306"/>
      <c r="W616" s="306"/>
      <c r="X616" s="306"/>
      <c r="Y616" s="306"/>
      <c r="Z616" s="306"/>
    </row>
    <row r="617" spans="1:26" x14ac:dyDescent="0.35">
      <c r="A617" s="306"/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N617" s="306"/>
      <c r="O617" s="306"/>
      <c r="P617" s="306"/>
      <c r="Q617" s="306"/>
      <c r="R617" s="306"/>
      <c r="S617" s="306"/>
      <c r="T617" s="306"/>
      <c r="U617" s="306"/>
      <c r="V617" s="306"/>
      <c r="W617" s="306"/>
      <c r="X617" s="306"/>
      <c r="Y617" s="306"/>
      <c r="Z617" s="306"/>
    </row>
    <row r="618" spans="1:26" x14ac:dyDescent="0.35">
      <c r="A618" s="306"/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N618" s="306"/>
      <c r="O618" s="306"/>
      <c r="P618" s="306"/>
      <c r="Q618" s="306"/>
      <c r="R618" s="306"/>
      <c r="S618" s="306"/>
      <c r="T618" s="306"/>
      <c r="U618" s="306"/>
      <c r="V618" s="306"/>
      <c r="W618" s="306"/>
      <c r="X618" s="306"/>
      <c r="Y618" s="306"/>
      <c r="Z618" s="306"/>
    </row>
    <row r="619" spans="1:26" x14ac:dyDescent="0.35">
      <c r="A619" s="306"/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N619" s="306"/>
      <c r="O619" s="306"/>
      <c r="P619" s="306"/>
      <c r="Q619" s="306"/>
      <c r="R619" s="306"/>
      <c r="S619" s="306"/>
      <c r="T619" s="306"/>
      <c r="U619" s="306"/>
      <c r="V619" s="306"/>
      <c r="W619" s="306"/>
      <c r="X619" s="306"/>
      <c r="Y619" s="306"/>
      <c r="Z619" s="306"/>
    </row>
    <row r="620" spans="1:26" x14ac:dyDescent="0.35">
      <c r="A620" s="306"/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N620" s="306"/>
      <c r="O620" s="306"/>
      <c r="P620" s="306"/>
      <c r="Q620" s="306"/>
      <c r="R620" s="306"/>
      <c r="S620" s="306"/>
      <c r="T620" s="306"/>
      <c r="U620" s="306"/>
      <c r="V620" s="306"/>
      <c r="W620" s="306"/>
      <c r="X620" s="306"/>
      <c r="Y620" s="306"/>
      <c r="Z620" s="306"/>
    </row>
    <row r="621" spans="1:26" x14ac:dyDescent="0.35">
      <c r="A621" s="306"/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N621" s="306"/>
      <c r="O621" s="306"/>
      <c r="P621" s="306"/>
      <c r="Q621" s="306"/>
      <c r="R621" s="306"/>
      <c r="S621" s="306"/>
      <c r="T621" s="306"/>
      <c r="U621" s="306"/>
      <c r="V621" s="306"/>
      <c r="W621" s="306"/>
      <c r="X621" s="306"/>
      <c r="Y621" s="306"/>
      <c r="Z621" s="306"/>
    </row>
    <row r="622" spans="1:26" x14ac:dyDescent="0.35">
      <c r="A622" s="306"/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N622" s="306"/>
      <c r="O622" s="306"/>
      <c r="P622" s="306"/>
      <c r="Q622" s="306"/>
      <c r="R622" s="306"/>
      <c r="S622" s="306"/>
      <c r="T622" s="306"/>
      <c r="U622" s="306"/>
      <c r="V622" s="306"/>
      <c r="W622" s="306"/>
      <c r="X622" s="306"/>
      <c r="Y622" s="306"/>
      <c r="Z622" s="306"/>
    </row>
    <row r="623" spans="1:26" x14ac:dyDescent="0.35">
      <c r="A623" s="306"/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N623" s="306"/>
      <c r="O623" s="306"/>
      <c r="P623" s="306"/>
      <c r="Q623" s="306"/>
      <c r="R623" s="306"/>
      <c r="S623" s="306"/>
      <c r="T623" s="306"/>
      <c r="U623" s="306"/>
      <c r="V623" s="306"/>
      <c r="W623" s="306"/>
      <c r="X623" s="306"/>
      <c r="Y623" s="306"/>
      <c r="Z623" s="306"/>
    </row>
    <row r="624" spans="1:26" x14ac:dyDescent="0.35">
      <c r="A624" s="306"/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N624" s="306"/>
      <c r="O624" s="306"/>
      <c r="P624" s="306"/>
      <c r="Q624" s="306"/>
      <c r="R624" s="306"/>
      <c r="S624" s="306"/>
      <c r="T624" s="306"/>
      <c r="U624" s="306"/>
      <c r="V624" s="306"/>
      <c r="W624" s="306"/>
      <c r="X624" s="306"/>
      <c r="Y624" s="306"/>
      <c r="Z624" s="306"/>
    </row>
    <row r="625" spans="1:26" x14ac:dyDescent="0.35">
      <c r="A625" s="306"/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N625" s="306"/>
      <c r="O625" s="306"/>
      <c r="P625" s="306"/>
      <c r="Q625" s="306"/>
      <c r="R625" s="306"/>
      <c r="S625" s="306"/>
      <c r="T625" s="306"/>
      <c r="U625" s="306"/>
      <c r="V625" s="306"/>
      <c r="W625" s="306"/>
      <c r="X625" s="306"/>
      <c r="Y625" s="306"/>
      <c r="Z625" s="306"/>
    </row>
    <row r="626" spans="1:26" x14ac:dyDescent="0.35">
      <c r="A626" s="306"/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N626" s="306"/>
      <c r="O626" s="306"/>
      <c r="P626" s="306"/>
      <c r="Q626" s="306"/>
      <c r="R626" s="306"/>
      <c r="S626" s="306"/>
      <c r="T626" s="306"/>
      <c r="U626" s="306"/>
      <c r="V626" s="306"/>
      <c r="W626" s="306"/>
      <c r="X626" s="306"/>
      <c r="Y626" s="306"/>
      <c r="Z626" s="306"/>
    </row>
    <row r="627" spans="1:26" x14ac:dyDescent="0.35">
      <c r="A627" s="306"/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N627" s="306"/>
      <c r="O627" s="306"/>
      <c r="P627" s="306"/>
      <c r="Q627" s="306"/>
      <c r="R627" s="306"/>
      <c r="S627" s="306"/>
      <c r="T627" s="306"/>
      <c r="U627" s="306"/>
      <c r="V627" s="306"/>
      <c r="W627" s="306"/>
      <c r="X627" s="306"/>
      <c r="Y627" s="306"/>
      <c r="Z627" s="306"/>
    </row>
    <row r="628" spans="1:26" x14ac:dyDescent="0.35">
      <c r="A628" s="306"/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N628" s="306"/>
      <c r="O628" s="306"/>
      <c r="P628" s="306"/>
      <c r="Q628" s="306"/>
      <c r="R628" s="306"/>
      <c r="S628" s="306"/>
      <c r="T628" s="306"/>
      <c r="U628" s="306"/>
      <c r="V628" s="306"/>
      <c r="W628" s="306"/>
      <c r="X628" s="306"/>
      <c r="Y628" s="306"/>
      <c r="Z628" s="306"/>
    </row>
    <row r="629" spans="1:26" x14ac:dyDescent="0.35">
      <c r="A629" s="306"/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N629" s="306"/>
      <c r="O629" s="306"/>
      <c r="P629" s="306"/>
      <c r="Q629" s="306"/>
      <c r="R629" s="306"/>
      <c r="S629" s="306"/>
      <c r="T629" s="306"/>
      <c r="U629" s="306"/>
      <c r="V629" s="306"/>
      <c r="W629" s="306"/>
      <c r="X629" s="306"/>
      <c r="Y629" s="306"/>
      <c r="Z629" s="306"/>
    </row>
    <row r="630" spans="1:26" x14ac:dyDescent="0.35">
      <c r="A630" s="306"/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N630" s="306"/>
      <c r="O630" s="306"/>
      <c r="P630" s="306"/>
      <c r="Q630" s="306"/>
      <c r="R630" s="306"/>
      <c r="S630" s="306"/>
      <c r="T630" s="306"/>
      <c r="U630" s="306"/>
      <c r="V630" s="306"/>
      <c r="W630" s="306"/>
      <c r="X630" s="306"/>
      <c r="Y630" s="306"/>
      <c r="Z630" s="306"/>
    </row>
    <row r="631" spans="1:26" x14ac:dyDescent="0.35">
      <c r="A631" s="306"/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N631" s="306"/>
      <c r="O631" s="306"/>
      <c r="P631" s="306"/>
      <c r="Q631" s="306"/>
      <c r="R631" s="306"/>
      <c r="S631" s="306"/>
      <c r="T631" s="306"/>
      <c r="U631" s="306"/>
      <c r="V631" s="306"/>
      <c r="W631" s="306"/>
      <c r="X631" s="306"/>
      <c r="Y631" s="306"/>
      <c r="Z631" s="306"/>
    </row>
    <row r="632" spans="1:26" x14ac:dyDescent="0.35">
      <c r="A632" s="306"/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N632" s="306"/>
      <c r="O632" s="306"/>
      <c r="P632" s="306"/>
      <c r="Q632" s="306"/>
      <c r="R632" s="306"/>
      <c r="S632" s="306"/>
      <c r="T632" s="306"/>
      <c r="U632" s="306"/>
      <c r="V632" s="306"/>
      <c r="W632" s="306"/>
      <c r="X632" s="306"/>
      <c r="Y632" s="306"/>
      <c r="Z632" s="306"/>
    </row>
    <row r="633" spans="1:26" x14ac:dyDescent="0.35">
      <c r="A633" s="306"/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N633" s="306"/>
      <c r="O633" s="306"/>
      <c r="P633" s="306"/>
      <c r="Q633" s="306"/>
      <c r="R633" s="306"/>
      <c r="S633" s="306"/>
      <c r="T633" s="306"/>
      <c r="U633" s="306"/>
      <c r="V633" s="306"/>
      <c r="W633" s="306"/>
      <c r="X633" s="306"/>
      <c r="Y633" s="306"/>
      <c r="Z633" s="306"/>
    </row>
    <row r="634" spans="1:26" x14ac:dyDescent="0.35">
      <c r="A634" s="306"/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N634" s="306"/>
      <c r="O634" s="306"/>
      <c r="P634" s="306"/>
      <c r="Q634" s="306"/>
      <c r="R634" s="306"/>
      <c r="S634" s="306"/>
      <c r="T634" s="306"/>
      <c r="U634" s="306"/>
      <c r="V634" s="306"/>
      <c r="W634" s="306"/>
      <c r="X634" s="306"/>
      <c r="Y634" s="306"/>
      <c r="Z634" s="306"/>
    </row>
    <row r="635" spans="1:26" x14ac:dyDescent="0.35">
      <c r="A635" s="306"/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N635" s="306"/>
      <c r="O635" s="306"/>
      <c r="P635" s="306"/>
      <c r="Q635" s="306"/>
      <c r="R635" s="306"/>
      <c r="S635" s="306"/>
      <c r="T635" s="306"/>
      <c r="U635" s="306"/>
      <c r="V635" s="306"/>
      <c r="W635" s="306"/>
      <c r="X635" s="306"/>
      <c r="Y635" s="306"/>
      <c r="Z635" s="306"/>
    </row>
    <row r="636" spans="1:26" x14ac:dyDescent="0.35">
      <c r="A636" s="306"/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N636" s="306"/>
      <c r="O636" s="306"/>
      <c r="P636" s="306"/>
      <c r="Q636" s="306"/>
      <c r="R636" s="306"/>
      <c r="S636" s="306"/>
      <c r="T636" s="306"/>
      <c r="U636" s="306"/>
      <c r="V636" s="306"/>
      <c r="W636" s="306"/>
      <c r="X636" s="306"/>
      <c r="Y636" s="306"/>
      <c r="Z636" s="306"/>
    </row>
    <row r="637" spans="1:26" x14ac:dyDescent="0.35">
      <c r="A637" s="306"/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N637" s="306"/>
      <c r="O637" s="306"/>
      <c r="P637" s="306"/>
      <c r="Q637" s="306"/>
      <c r="R637" s="306"/>
      <c r="S637" s="306"/>
      <c r="T637" s="306"/>
      <c r="U637" s="306"/>
      <c r="V637" s="306"/>
      <c r="W637" s="306"/>
      <c r="X637" s="306"/>
      <c r="Y637" s="306"/>
      <c r="Z637" s="306"/>
    </row>
    <row r="638" spans="1:26" x14ac:dyDescent="0.35">
      <c r="A638" s="306"/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N638" s="306"/>
      <c r="O638" s="306"/>
      <c r="P638" s="306"/>
      <c r="Q638" s="306"/>
      <c r="R638" s="306"/>
      <c r="S638" s="306"/>
      <c r="T638" s="306"/>
      <c r="U638" s="306"/>
      <c r="V638" s="306"/>
      <c r="W638" s="306"/>
      <c r="X638" s="306"/>
      <c r="Y638" s="306"/>
      <c r="Z638" s="306"/>
    </row>
    <row r="639" spans="1:26" x14ac:dyDescent="0.35">
      <c r="A639" s="306"/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N639" s="306"/>
      <c r="O639" s="306"/>
      <c r="P639" s="306"/>
      <c r="Q639" s="306"/>
      <c r="R639" s="306"/>
      <c r="S639" s="306"/>
      <c r="T639" s="306"/>
      <c r="U639" s="306"/>
      <c r="V639" s="306"/>
      <c r="W639" s="306"/>
      <c r="X639" s="306"/>
      <c r="Y639" s="306"/>
      <c r="Z639" s="306"/>
    </row>
    <row r="640" spans="1:26" x14ac:dyDescent="0.35">
      <c r="A640" s="306"/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N640" s="306"/>
      <c r="O640" s="306"/>
      <c r="P640" s="306"/>
      <c r="Q640" s="306"/>
      <c r="R640" s="306"/>
      <c r="S640" s="306"/>
      <c r="T640" s="306"/>
      <c r="U640" s="306"/>
      <c r="V640" s="306"/>
      <c r="W640" s="306"/>
      <c r="X640" s="306"/>
      <c r="Y640" s="306"/>
      <c r="Z640" s="306"/>
    </row>
    <row r="641" spans="1:26" x14ac:dyDescent="0.35">
      <c r="A641" s="306"/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N641" s="306"/>
      <c r="O641" s="306"/>
      <c r="P641" s="306"/>
      <c r="Q641" s="306"/>
      <c r="R641" s="306"/>
      <c r="S641" s="306"/>
      <c r="T641" s="306"/>
      <c r="U641" s="306"/>
      <c r="V641" s="306"/>
      <c r="W641" s="306"/>
      <c r="X641" s="306"/>
      <c r="Y641" s="306"/>
      <c r="Z641" s="306"/>
    </row>
    <row r="642" spans="1:26" x14ac:dyDescent="0.35">
      <c r="A642" s="306"/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N642" s="306"/>
      <c r="O642" s="306"/>
      <c r="P642" s="306"/>
      <c r="Q642" s="306"/>
      <c r="R642" s="306"/>
      <c r="S642" s="306"/>
      <c r="T642" s="306"/>
      <c r="U642" s="306"/>
      <c r="V642" s="306"/>
      <c r="W642" s="306"/>
      <c r="X642" s="306"/>
      <c r="Y642" s="306"/>
      <c r="Z642" s="306"/>
    </row>
    <row r="643" spans="1:26" x14ac:dyDescent="0.35">
      <c r="A643" s="306"/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N643" s="306"/>
      <c r="O643" s="306"/>
      <c r="P643" s="306"/>
      <c r="Q643" s="306"/>
      <c r="R643" s="306"/>
      <c r="S643" s="306"/>
      <c r="T643" s="306"/>
      <c r="U643" s="306"/>
      <c r="V643" s="306"/>
      <c r="W643" s="306"/>
      <c r="X643" s="306"/>
      <c r="Y643" s="306"/>
      <c r="Z643" s="306"/>
    </row>
    <row r="644" spans="1:26" x14ac:dyDescent="0.35">
      <c r="A644" s="306"/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N644" s="306"/>
      <c r="O644" s="306"/>
      <c r="P644" s="306"/>
      <c r="Q644" s="306"/>
      <c r="R644" s="306"/>
      <c r="S644" s="306"/>
      <c r="T644" s="306"/>
      <c r="U644" s="306"/>
      <c r="V644" s="306"/>
      <c r="W644" s="306"/>
      <c r="X644" s="306"/>
      <c r="Y644" s="306"/>
      <c r="Z644" s="306"/>
    </row>
    <row r="645" spans="1:26" x14ac:dyDescent="0.35">
      <c r="A645" s="306"/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N645" s="306"/>
      <c r="O645" s="306"/>
      <c r="P645" s="306"/>
      <c r="Q645" s="306"/>
      <c r="R645" s="306"/>
      <c r="S645" s="306"/>
      <c r="T645" s="306"/>
      <c r="U645" s="306"/>
      <c r="V645" s="306"/>
      <c r="W645" s="306"/>
      <c r="X645" s="306"/>
      <c r="Y645" s="306"/>
      <c r="Z645" s="306"/>
    </row>
    <row r="646" spans="1:26" x14ac:dyDescent="0.35">
      <c r="A646" s="306"/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N646" s="306"/>
      <c r="O646" s="306"/>
      <c r="P646" s="306"/>
      <c r="Q646" s="306"/>
      <c r="R646" s="306"/>
      <c r="S646" s="306"/>
      <c r="T646" s="306"/>
      <c r="U646" s="306"/>
      <c r="V646" s="306"/>
      <c r="W646" s="306"/>
      <c r="X646" s="306"/>
      <c r="Y646" s="306"/>
      <c r="Z646" s="306"/>
    </row>
    <row r="647" spans="1:26" x14ac:dyDescent="0.35">
      <c r="A647" s="306"/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N647" s="306"/>
      <c r="O647" s="306"/>
      <c r="P647" s="306"/>
      <c r="Q647" s="306"/>
      <c r="R647" s="306"/>
      <c r="S647" s="306"/>
      <c r="T647" s="306"/>
      <c r="U647" s="306"/>
      <c r="V647" s="306"/>
      <c r="W647" s="306"/>
      <c r="X647" s="306"/>
      <c r="Y647" s="306"/>
      <c r="Z647" s="306"/>
    </row>
    <row r="648" spans="1:26" x14ac:dyDescent="0.35">
      <c r="A648" s="306"/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N648" s="306"/>
      <c r="O648" s="306"/>
      <c r="P648" s="306"/>
      <c r="Q648" s="306"/>
      <c r="R648" s="306"/>
      <c r="S648" s="306"/>
      <c r="T648" s="306"/>
      <c r="U648" s="306"/>
      <c r="V648" s="306"/>
      <c r="W648" s="306"/>
      <c r="X648" s="306"/>
      <c r="Y648" s="306"/>
      <c r="Z648" s="306"/>
    </row>
    <row r="649" spans="1:26" x14ac:dyDescent="0.35">
      <c r="A649" s="306"/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N649" s="306"/>
      <c r="O649" s="306"/>
      <c r="P649" s="306"/>
      <c r="Q649" s="306"/>
      <c r="R649" s="306"/>
      <c r="S649" s="306"/>
      <c r="T649" s="306"/>
      <c r="U649" s="306"/>
      <c r="V649" s="306"/>
      <c r="W649" s="306"/>
      <c r="X649" s="306"/>
      <c r="Y649" s="306"/>
      <c r="Z649" s="306"/>
    </row>
    <row r="650" spans="1:26" x14ac:dyDescent="0.35">
      <c r="A650" s="306"/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N650" s="306"/>
      <c r="O650" s="306"/>
      <c r="P650" s="306"/>
      <c r="Q650" s="306"/>
      <c r="R650" s="306"/>
      <c r="S650" s="306"/>
      <c r="T650" s="306"/>
      <c r="U650" s="306"/>
      <c r="V650" s="306"/>
      <c r="W650" s="306"/>
      <c r="X650" s="306"/>
      <c r="Y650" s="306"/>
      <c r="Z650" s="306"/>
    </row>
    <row r="651" spans="1:26" x14ac:dyDescent="0.35">
      <c r="A651" s="306"/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N651" s="306"/>
      <c r="O651" s="306"/>
      <c r="P651" s="306"/>
      <c r="Q651" s="306"/>
      <c r="R651" s="306"/>
      <c r="S651" s="306"/>
      <c r="T651" s="306"/>
      <c r="U651" s="306"/>
      <c r="V651" s="306"/>
      <c r="W651" s="306"/>
      <c r="X651" s="306"/>
      <c r="Y651" s="306"/>
      <c r="Z651" s="306"/>
    </row>
    <row r="652" spans="1:26" x14ac:dyDescent="0.35">
      <c r="A652" s="306"/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N652" s="306"/>
      <c r="O652" s="306"/>
      <c r="P652" s="306"/>
      <c r="Q652" s="306"/>
      <c r="R652" s="306"/>
      <c r="S652" s="306"/>
      <c r="T652" s="306"/>
      <c r="U652" s="306"/>
      <c r="V652" s="306"/>
      <c r="W652" s="306"/>
      <c r="X652" s="306"/>
      <c r="Y652" s="306"/>
      <c r="Z652" s="306"/>
    </row>
    <row r="653" spans="1:26" x14ac:dyDescent="0.35">
      <c r="A653" s="306"/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N653" s="306"/>
      <c r="O653" s="306"/>
      <c r="P653" s="306"/>
      <c r="Q653" s="306"/>
      <c r="R653" s="306"/>
      <c r="S653" s="306"/>
      <c r="T653" s="306"/>
      <c r="U653" s="306"/>
      <c r="V653" s="306"/>
      <c r="W653" s="306"/>
      <c r="X653" s="306"/>
      <c r="Y653" s="306"/>
      <c r="Z653" s="306"/>
    </row>
    <row r="654" spans="1:26" x14ac:dyDescent="0.35">
      <c r="A654" s="306"/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N654" s="306"/>
      <c r="O654" s="306"/>
      <c r="P654" s="306"/>
      <c r="Q654" s="306"/>
      <c r="R654" s="306"/>
      <c r="S654" s="306"/>
      <c r="T654" s="306"/>
      <c r="U654" s="306"/>
      <c r="V654" s="306"/>
      <c r="W654" s="306"/>
      <c r="X654" s="306"/>
      <c r="Y654" s="306"/>
      <c r="Z654" s="306"/>
    </row>
    <row r="655" spans="1:26" x14ac:dyDescent="0.35">
      <c r="A655" s="306"/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N655" s="306"/>
      <c r="O655" s="306"/>
      <c r="P655" s="306"/>
      <c r="Q655" s="306"/>
      <c r="R655" s="306"/>
      <c r="S655" s="306"/>
      <c r="T655" s="306"/>
      <c r="U655" s="306"/>
      <c r="V655" s="306"/>
      <c r="W655" s="306"/>
      <c r="X655" s="306"/>
      <c r="Y655" s="306"/>
      <c r="Z655" s="306"/>
    </row>
    <row r="656" spans="1:26" x14ac:dyDescent="0.35">
      <c r="A656" s="306"/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N656" s="306"/>
      <c r="O656" s="306"/>
      <c r="P656" s="306"/>
      <c r="Q656" s="306"/>
      <c r="R656" s="306"/>
      <c r="S656" s="306"/>
      <c r="T656" s="306"/>
      <c r="U656" s="306"/>
      <c r="V656" s="306"/>
      <c r="W656" s="306"/>
      <c r="X656" s="306"/>
      <c r="Y656" s="306"/>
      <c r="Z656" s="306"/>
    </row>
    <row r="657" spans="1:26" x14ac:dyDescent="0.35">
      <c r="A657" s="306"/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N657" s="306"/>
      <c r="O657" s="306"/>
      <c r="P657" s="306"/>
      <c r="Q657" s="306"/>
      <c r="R657" s="306"/>
      <c r="S657" s="306"/>
      <c r="T657" s="306"/>
      <c r="U657" s="306"/>
      <c r="V657" s="306"/>
      <c r="W657" s="306"/>
      <c r="X657" s="306"/>
      <c r="Y657" s="306"/>
      <c r="Z657" s="306"/>
    </row>
    <row r="658" spans="1:26" x14ac:dyDescent="0.35">
      <c r="A658" s="306"/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N658" s="306"/>
      <c r="O658" s="306"/>
      <c r="P658" s="306"/>
      <c r="Q658" s="306"/>
      <c r="R658" s="306"/>
      <c r="S658" s="306"/>
      <c r="T658" s="306"/>
      <c r="U658" s="306"/>
      <c r="V658" s="306"/>
      <c r="W658" s="306"/>
      <c r="X658" s="306"/>
      <c r="Y658" s="306"/>
      <c r="Z658" s="306"/>
    </row>
    <row r="659" spans="1:26" x14ac:dyDescent="0.35">
      <c r="A659" s="306"/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N659" s="306"/>
      <c r="O659" s="306"/>
      <c r="P659" s="306"/>
      <c r="Q659" s="306"/>
      <c r="R659" s="306"/>
      <c r="S659" s="306"/>
      <c r="T659" s="306"/>
      <c r="U659" s="306"/>
      <c r="V659" s="306"/>
      <c r="W659" s="306"/>
      <c r="X659" s="306"/>
      <c r="Y659" s="306"/>
      <c r="Z659" s="306"/>
    </row>
    <row r="660" spans="1:26" x14ac:dyDescent="0.35">
      <c r="A660" s="306"/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N660" s="306"/>
      <c r="O660" s="306"/>
      <c r="P660" s="306"/>
      <c r="Q660" s="306"/>
      <c r="R660" s="306"/>
      <c r="S660" s="306"/>
      <c r="T660" s="306"/>
      <c r="U660" s="306"/>
      <c r="V660" s="306"/>
      <c r="W660" s="306"/>
      <c r="X660" s="306"/>
      <c r="Y660" s="306"/>
      <c r="Z660" s="306"/>
    </row>
    <row r="661" spans="1:26" x14ac:dyDescent="0.35">
      <c r="A661" s="306"/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N661" s="306"/>
      <c r="O661" s="306"/>
      <c r="P661" s="306"/>
      <c r="Q661" s="306"/>
      <c r="R661" s="306"/>
      <c r="S661" s="306"/>
      <c r="T661" s="306"/>
      <c r="U661" s="306"/>
      <c r="V661" s="306"/>
      <c r="W661" s="306"/>
      <c r="X661" s="306"/>
      <c r="Y661" s="306"/>
      <c r="Z661" s="306"/>
    </row>
    <row r="662" spans="1:26" x14ac:dyDescent="0.35">
      <c r="A662" s="306"/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N662" s="306"/>
      <c r="O662" s="306"/>
      <c r="P662" s="306"/>
      <c r="Q662" s="306"/>
      <c r="R662" s="306"/>
      <c r="S662" s="306"/>
      <c r="T662" s="306"/>
      <c r="U662" s="306"/>
      <c r="V662" s="306"/>
      <c r="W662" s="306"/>
      <c r="X662" s="306"/>
      <c r="Y662" s="306"/>
      <c r="Z662" s="306"/>
    </row>
    <row r="663" spans="1:26" x14ac:dyDescent="0.35">
      <c r="A663" s="306"/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N663" s="306"/>
      <c r="O663" s="306"/>
      <c r="P663" s="306"/>
      <c r="Q663" s="306"/>
      <c r="R663" s="306"/>
      <c r="S663" s="306"/>
      <c r="T663" s="306"/>
      <c r="U663" s="306"/>
      <c r="V663" s="306"/>
      <c r="W663" s="306"/>
      <c r="X663" s="306"/>
      <c r="Y663" s="306"/>
      <c r="Z663" s="306"/>
    </row>
    <row r="664" spans="1:26" x14ac:dyDescent="0.35">
      <c r="A664" s="306"/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N664" s="306"/>
      <c r="O664" s="306"/>
      <c r="P664" s="306"/>
      <c r="Q664" s="306"/>
      <c r="R664" s="306"/>
      <c r="S664" s="306"/>
      <c r="T664" s="306"/>
      <c r="U664" s="306"/>
      <c r="V664" s="306"/>
      <c r="W664" s="306"/>
      <c r="X664" s="306"/>
      <c r="Y664" s="306"/>
      <c r="Z664" s="306"/>
    </row>
    <row r="665" spans="1:26" x14ac:dyDescent="0.35">
      <c r="A665" s="306"/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N665" s="306"/>
      <c r="O665" s="306"/>
      <c r="P665" s="306"/>
      <c r="Q665" s="306"/>
      <c r="R665" s="306"/>
      <c r="S665" s="306"/>
      <c r="T665" s="306"/>
      <c r="U665" s="306"/>
      <c r="V665" s="306"/>
      <c r="W665" s="306"/>
      <c r="X665" s="306"/>
      <c r="Y665" s="306"/>
      <c r="Z665" s="306"/>
    </row>
    <row r="666" spans="1:26" x14ac:dyDescent="0.35">
      <c r="A666" s="306"/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N666" s="306"/>
      <c r="O666" s="306"/>
      <c r="P666" s="306"/>
      <c r="Q666" s="306"/>
      <c r="R666" s="306"/>
      <c r="S666" s="306"/>
      <c r="T666" s="306"/>
      <c r="U666" s="306"/>
      <c r="V666" s="306"/>
      <c r="W666" s="306"/>
      <c r="X666" s="306"/>
      <c r="Y666" s="306"/>
      <c r="Z666" s="306"/>
    </row>
    <row r="667" spans="1:26" x14ac:dyDescent="0.35">
      <c r="A667" s="306"/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N667" s="306"/>
      <c r="O667" s="306"/>
      <c r="P667" s="306"/>
      <c r="Q667" s="306"/>
      <c r="R667" s="306"/>
      <c r="S667" s="306"/>
      <c r="T667" s="306"/>
      <c r="U667" s="306"/>
      <c r="V667" s="306"/>
      <c r="W667" s="306"/>
      <c r="X667" s="306"/>
      <c r="Y667" s="306"/>
      <c r="Z667" s="306"/>
    </row>
    <row r="668" spans="1:26" x14ac:dyDescent="0.35">
      <c r="A668" s="306"/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N668" s="306"/>
      <c r="O668" s="306"/>
      <c r="P668" s="306"/>
      <c r="Q668" s="306"/>
      <c r="R668" s="306"/>
      <c r="S668" s="306"/>
      <c r="T668" s="306"/>
      <c r="U668" s="306"/>
      <c r="V668" s="306"/>
      <c r="W668" s="306"/>
      <c r="X668" s="306"/>
      <c r="Y668" s="306"/>
      <c r="Z668" s="306"/>
    </row>
    <row r="669" spans="1:26" x14ac:dyDescent="0.35">
      <c r="A669" s="306"/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N669" s="306"/>
      <c r="O669" s="306"/>
      <c r="P669" s="306"/>
      <c r="Q669" s="306"/>
      <c r="R669" s="306"/>
      <c r="S669" s="306"/>
      <c r="T669" s="306"/>
      <c r="U669" s="306"/>
      <c r="V669" s="306"/>
      <c r="W669" s="306"/>
      <c r="X669" s="306"/>
      <c r="Y669" s="306"/>
      <c r="Z669" s="306"/>
    </row>
    <row r="670" spans="1:26" x14ac:dyDescent="0.35">
      <c r="A670" s="306"/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N670" s="306"/>
      <c r="O670" s="306"/>
      <c r="P670" s="306"/>
      <c r="Q670" s="306"/>
      <c r="R670" s="306"/>
      <c r="S670" s="306"/>
      <c r="T670" s="306"/>
      <c r="U670" s="306"/>
      <c r="V670" s="306"/>
      <c r="W670" s="306"/>
      <c r="X670" s="306"/>
      <c r="Y670" s="306"/>
      <c r="Z670" s="306"/>
    </row>
    <row r="671" spans="1:26" x14ac:dyDescent="0.35">
      <c r="A671" s="306"/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N671" s="306"/>
      <c r="O671" s="306"/>
      <c r="P671" s="306"/>
      <c r="Q671" s="306"/>
      <c r="R671" s="306"/>
      <c r="S671" s="306"/>
      <c r="T671" s="306"/>
      <c r="U671" s="306"/>
      <c r="V671" s="306"/>
      <c r="W671" s="306"/>
      <c r="X671" s="306"/>
      <c r="Y671" s="306"/>
      <c r="Z671" s="306"/>
    </row>
    <row r="672" spans="1:26" x14ac:dyDescent="0.35">
      <c r="A672" s="306"/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N672" s="306"/>
      <c r="O672" s="306"/>
      <c r="P672" s="306"/>
      <c r="Q672" s="306"/>
      <c r="R672" s="306"/>
      <c r="S672" s="306"/>
      <c r="T672" s="306"/>
      <c r="U672" s="306"/>
      <c r="V672" s="306"/>
      <c r="W672" s="306"/>
      <c r="X672" s="306"/>
      <c r="Y672" s="306"/>
      <c r="Z672" s="306"/>
    </row>
    <row r="673" spans="1:26" x14ac:dyDescent="0.35">
      <c r="A673" s="306"/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N673" s="306"/>
      <c r="O673" s="306"/>
      <c r="P673" s="306"/>
      <c r="Q673" s="306"/>
      <c r="R673" s="306"/>
      <c r="S673" s="306"/>
      <c r="T673" s="306"/>
      <c r="U673" s="306"/>
      <c r="V673" s="306"/>
      <c r="W673" s="306"/>
      <c r="X673" s="306"/>
      <c r="Y673" s="306"/>
      <c r="Z673" s="306"/>
    </row>
    <row r="674" spans="1:26" x14ac:dyDescent="0.35">
      <c r="A674" s="306"/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N674" s="306"/>
      <c r="O674" s="306"/>
      <c r="P674" s="306"/>
      <c r="Q674" s="306"/>
      <c r="R674" s="306"/>
      <c r="S674" s="306"/>
      <c r="T674" s="306"/>
      <c r="U674" s="306"/>
      <c r="V674" s="306"/>
      <c r="W674" s="306"/>
      <c r="X674" s="306"/>
      <c r="Y674" s="306"/>
      <c r="Z674" s="306"/>
    </row>
    <row r="675" spans="1:26" x14ac:dyDescent="0.35">
      <c r="A675" s="306"/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N675" s="306"/>
      <c r="O675" s="306"/>
      <c r="P675" s="306"/>
      <c r="Q675" s="306"/>
      <c r="R675" s="306"/>
      <c r="S675" s="306"/>
      <c r="T675" s="306"/>
      <c r="U675" s="306"/>
      <c r="V675" s="306"/>
      <c r="W675" s="306"/>
      <c r="X675" s="306"/>
      <c r="Y675" s="306"/>
      <c r="Z675" s="306"/>
    </row>
    <row r="676" spans="1:26" x14ac:dyDescent="0.35">
      <c r="A676" s="306"/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N676" s="306"/>
      <c r="O676" s="306"/>
      <c r="P676" s="306"/>
      <c r="Q676" s="306"/>
      <c r="R676" s="306"/>
      <c r="S676" s="306"/>
      <c r="T676" s="306"/>
      <c r="U676" s="306"/>
      <c r="V676" s="306"/>
      <c r="W676" s="306"/>
      <c r="X676" s="306"/>
      <c r="Y676" s="306"/>
      <c r="Z676" s="306"/>
    </row>
    <row r="677" spans="1:26" x14ac:dyDescent="0.35">
      <c r="A677" s="306"/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N677" s="306"/>
      <c r="O677" s="306"/>
      <c r="P677" s="306"/>
      <c r="Q677" s="306"/>
      <c r="R677" s="306"/>
      <c r="S677" s="306"/>
      <c r="T677" s="306"/>
      <c r="U677" s="306"/>
      <c r="V677" s="306"/>
      <c r="W677" s="306"/>
      <c r="X677" s="306"/>
      <c r="Y677" s="306"/>
      <c r="Z677" s="306"/>
    </row>
    <row r="678" spans="1:26" x14ac:dyDescent="0.35">
      <c r="A678" s="306"/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N678" s="306"/>
      <c r="O678" s="306"/>
      <c r="P678" s="306"/>
      <c r="Q678" s="306"/>
      <c r="R678" s="306"/>
      <c r="S678" s="306"/>
      <c r="T678" s="306"/>
      <c r="U678" s="306"/>
      <c r="V678" s="306"/>
      <c r="W678" s="306"/>
      <c r="X678" s="306"/>
      <c r="Y678" s="306"/>
      <c r="Z678" s="306"/>
    </row>
    <row r="679" spans="1:26" x14ac:dyDescent="0.35">
      <c r="A679" s="306"/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N679" s="306"/>
      <c r="O679" s="306"/>
      <c r="P679" s="306"/>
      <c r="Q679" s="306"/>
      <c r="R679" s="306"/>
      <c r="S679" s="306"/>
      <c r="T679" s="306"/>
      <c r="U679" s="306"/>
      <c r="V679" s="306"/>
      <c r="W679" s="306"/>
      <c r="X679" s="306"/>
      <c r="Y679" s="306"/>
      <c r="Z679" s="306"/>
    </row>
    <row r="680" spans="1:26" x14ac:dyDescent="0.35">
      <c r="A680" s="306"/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N680" s="306"/>
      <c r="O680" s="306"/>
      <c r="P680" s="306"/>
      <c r="Q680" s="306"/>
      <c r="R680" s="306"/>
      <c r="S680" s="306"/>
      <c r="T680" s="306"/>
      <c r="U680" s="306"/>
      <c r="V680" s="306"/>
      <c r="W680" s="306"/>
      <c r="X680" s="306"/>
      <c r="Y680" s="306"/>
      <c r="Z680" s="306"/>
    </row>
    <row r="681" spans="1:26" x14ac:dyDescent="0.35">
      <c r="A681" s="306"/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N681" s="306"/>
      <c r="O681" s="306"/>
      <c r="P681" s="306"/>
      <c r="Q681" s="306"/>
      <c r="R681" s="306"/>
      <c r="S681" s="306"/>
      <c r="T681" s="306"/>
      <c r="U681" s="306"/>
      <c r="V681" s="306"/>
      <c r="W681" s="306"/>
      <c r="X681" s="306"/>
      <c r="Y681" s="306"/>
      <c r="Z681" s="306"/>
    </row>
    <row r="682" spans="1:26" x14ac:dyDescent="0.35">
      <c r="A682" s="306"/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N682" s="306"/>
      <c r="O682" s="306"/>
      <c r="P682" s="306"/>
      <c r="Q682" s="306"/>
      <c r="R682" s="306"/>
      <c r="S682" s="306"/>
      <c r="T682" s="306"/>
      <c r="U682" s="306"/>
      <c r="V682" s="306"/>
      <c r="W682" s="306"/>
      <c r="X682" s="306"/>
      <c r="Y682" s="306"/>
      <c r="Z682" s="306"/>
    </row>
    <row r="683" spans="1:26" x14ac:dyDescent="0.35">
      <c r="A683" s="306"/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N683" s="306"/>
      <c r="O683" s="306"/>
      <c r="P683" s="306"/>
      <c r="Q683" s="306"/>
      <c r="R683" s="306"/>
      <c r="S683" s="306"/>
      <c r="T683" s="306"/>
      <c r="U683" s="306"/>
      <c r="V683" s="306"/>
      <c r="W683" s="306"/>
      <c r="X683" s="306"/>
      <c r="Y683" s="306"/>
      <c r="Z683" s="306"/>
    </row>
    <row r="684" spans="1:26" x14ac:dyDescent="0.35">
      <c r="A684" s="306"/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N684" s="306"/>
      <c r="O684" s="306"/>
      <c r="P684" s="306"/>
      <c r="Q684" s="306"/>
      <c r="R684" s="306"/>
      <c r="S684" s="306"/>
      <c r="T684" s="306"/>
      <c r="U684" s="306"/>
      <c r="V684" s="306"/>
      <c r="W684" s="306"/>
      <c r="X684" s="306"/>
      <c r="Y684" s="306"/>
      <c r="Z684" s="306"/>
    </row>
    <row r="685" spans="1:26" x14ac:dyDescent="0.35">
      <c r="A685" s="306"/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N685" s="306"/>
      <c r="O685" s="306"/>
      <c r="P685" s="306"/>
      <c r="Q685" s="306"/>
      <c r="R685" s="306"/>
      <c r="S685" s="306"/>
      <c r="T685" s="306"/>
      <c r="U685" s="306"/>
      <c r="V685" s="306"/>
      <c r="W685" s="306"/>
      <c r="X685" s="306"/>
      <c r="Y685" s="306"/>
      <c r="Z685" s="306"/>
    </row>
    <row r="686" spans="1:26" x14ac:dyDescent="0.35">
      <c r="A686" s="306"/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N686" s="306"/>
      <c r="O686" s="306"/>
      <c r="P686" s="306"/>
      <c r="Q686" s="306"/>
      <c r="R686" s="306"/>
      <c r="S686" s="306"/>
      <c r="T686" s="306"/>
      <c r="U686" s="306"/>
      <c r="V686" s="306"/>
      <c r="W686" s="306"/>
      <c r="X686" s="306"/>
      <c r="Y686" s="306"/>
      <c r="Z686" s="306"/>
    </row>
    <row r="687" spans="1:26" x14ac:dyDescent="0.35">
      <c r="A687" s="306"/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N687" s="306"/>
      <c r="O687" s="306"/>
      <c r="P687" s="306"/>
      <c r="Q687" s="306"/>
      <c r="R687" s="306"/>
      <c r="S687" s="306"/>
      <c r="T687" s="306"/>
      <c r="U687" s="306"/>
      <c r="V687" s="306"/>
      <c r="W687" s="306"/>
      <c r="X687" s="306"/>
      <c r="Y687" s="306"/>
      <c r="Z687" s="306"/>
    </row>
    <row r="688" spans="1:26" x14ac:dyDescent="0.35">
      <c r="A688" s="306"/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N688" s="306"/>
      <c r="O688" s="306"/>
      <c r="P688" s="306"/>
      <c r="Q688" s="306"/>
      <c r="R688" s="306"/>
      <c r="S688" s="306"/>
      <c r="T688" s="306"/>
      <c r="U688" s="306"/>
      <c r="V688" s="306"/>
      <c r="W688" s="306"/>
      <c r="X688" s="306"/>
      <c r="Y688" s="306"/>
      <c r="Z688" s="306"/>
    </row>
    <row r="689" spans="1:26" x14ac:dyDescent="0.35">
      <c r="A689" s="306"/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N689" s="306"/>
      <c r="O689" s="306"/>
      <c r="P689" s="306"/>
      <c r="Q689" s="306"/>
      <c r="R689" s="306"/>
      <c r="S689" s="306"/>
      <c r="T689" s="306"/>
      <c r="U689" s="306"/>
      <c r="V689" s="306"/>
      <c r="W689" s="306"/>
      <c r="X689" s="306"/>
      <c r="Y689" s="306"/>
      <c r="Z689" s="306"/>
    </row>
    <row r="690" spans="1:26" x14ac:dyDescent="0.35">
      <c r="A690" s="306"/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N690" s="306"/>
      <c r="O690" s="306"/>
      <c r="P690" s="306"/>
      <c r="Q690" s="306"/>
      <c r="R690" s="306"/>
      <c r="S690" s="306"/>
      <c r="T690" s="306"/>
      <c r="U690" s="306"/>
      <c r="V690" s="306"/>
      <c r="W690" s="306"/>
      <c r="X690" s="306"/>
      <c r="Y690" s="306"/>
      <c r="Z690" s="306"/>
    </row>
    <row r="691" spans="1:26" x14ac:dyDescent="0.35">
      <c r="A691" s="306"/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N691" s="306"/>
      <c r="O691" s="306"/>
      <c r="P691" s="306"/>
      <c r="Q691" s="306"/>
      <c r="R691" s="306"/>
      <c r="S691" s="306"/>
      <c r="T691" s="306"/>
      <c r="U691" s="306"/>
      <c r="V691" s="306"/>
      <c r="W691" s="306"/>
      <c r="X691" s="306"/>
      <c r="Y691" s="306"/>
      <c r="Z691" s="306"/>
    </row>
    <row r="692" spans="1:26" x14ac:dyDescent="0.35">
      <c r="A692" s="306"/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N692" s="306"/>
      <c r="O692" s="306"/>
      <c r="P692" s="306"/>
      <c r="Q692" s="306"/>
      <c r="R692" s="306"/>
      <c r="S692" s="306"/>
      <c r="T692" s="306"/>
      <c r="U692" s="306"/>
      <c r="V692" s="306"/>
      <c r="W692" s="306"/>
      <c r="X692" s="306"/>
      <c r="Y692" s="306"/>
      <c r="Z692" s="306"/>
    </row>
    <row r="693" spans="1:26" x14ac:dyDescent="0.35">
      <c r="A693" s="306"/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N693" s="306"/>
      <c r="O693" s="306"/>
      <c r="P693" s="306"/>
      <c r="Q693" s="306"/>
      <c r="R693" s="306"/>
      <c r="S693" s="306"/>
      <c r="T693" s="306"/>
      <c r="U693" s="306"/>
      <c r="V693" s="306"/>
      <c r="W693" s="306"/>
      <c r="X693" s="306"/>
      <c r="Y693" s="306"/>
      <c r="Z693" s="306"/>
    </row>
    <row r="694" spans="1:26" x14ac:dyDescent="0.35">
      <c r="A694" s="306"/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N694" s="306"/>
      <c r="O694" s="306"/>
      <c r="P694" s="306"/>
      <c r="Q694" s="306"/>
      <c r="R694" s="306"/>
      <c r="S694" s="306"/>
      <c r="T694" s="306"/>
      <c r="U694" s="306"/>
      <c r="V694" s="306"/>
      <c r="W694" s="306"/>
      <c r="X694" s="306"/>
      <c r="Y694" s="306"/>
      <c r="Z694" s="306"/>
    </row>
    <row r="695" spans="1:26" x14ac:dyDescent="0.35">
      <c r="A695" s="306"/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N695" s="306"/>
      <c r="O695" s="306"/>
      <c r="P695" s="306"/>
      <c r="Q695" s="306"/>
      <c r="R695" s="306"/>
      <c r="S695" s="306"/>
      <c r="T695" s="306"/>
      <c r="U695" s="306"/>
      <c r="V695" s="306"/>
      <c r="W695" s="306"/>
      <c r="X695" s="306"/>
      <c r="Y695" s="306"/>
      <c r="Z695" s="306"/>
    </row>
    <row r="696" spans="1:26" x14ac:dyDescent="0.35">
      <c r="A696" s="306"/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N696" s="306"/>
      <c r="O696" s="306"/>
      <c r="P696" s="306"/>
      <c r="Q696" s="306"/>
      <c r="R696" s="306"/>
      <c r="S696" s="306"/>
      <c r="T696" s="306"/>
      <c r="U696" s="306"/>
      <c r="V696" s="306"/>
      <c r="W696" s="306"/>
      <c r="X696" s="306"/>
      <c r="Y696" s="306"/>
      <c r="Z696" s="306"/>
    </row>
    <row r="697" spans="1:26" x14ac:dyDescent="0.35">
      <c r="A697" s="306"/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N697" s="306"/>
      <c r="O697" s="306"/>
      <c r="P697" s="306"/>
      <c r="Q697" s="306"/>
      <c r="R697" s="306"/>
      <c r="S697" s="306"/>
      <c r="T697" s="306"/>
      <c r="U697" s="306"/>
      <c r="V697" s="306"/>
      <c r="W697" s="306"/>
      <c r="X697" s="306"/>
      <c r="Y697" s="306"/>
      <c r="Z697" s="306"/>
    </row>
    <row r="698" spans="1:26" x14ac:dyDescent="0.35">
      <c r="A698" s="306"/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N698" s="306"/>
      <c r="O698" s="306"/>
      <c r="P698" s="306"/>
      <c r="Q698" s="306"/>
      <c r="R698" s="306"/>
      <c r="S698" s="306"/>
      <c r="T698" s="306"/>
      <c r="U698" s="306"/>
      <c r="V698" s="306"/>
      <c r="W698" s="306"/>
      <c r="X698" s="306"/>
      <c r="Y698" s="306"/>
      <c r="Z698" s="306"/>
    </row>
    <row r="699" spans="1:26" x14ac:dyDescent="0.35">
      <c r="A699" s="306"/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N699" s="306"/>
      <c r="O699" s="306"/>
      <c r="P699" s="306"/>
      <c r="Q699" s="306"/>
      <c r="R699" s="306"/>
      <c r="S699" s="306"/>
      <c r="T699" s="306"/>
      <c r="U699" s="306"/>
      <c r="V699" s="306"/>
      <c r="W699" s="306"/>
      <c r="X699" s="306"/>
      <c r="Y699" s="306"/>
      <c r="Z699" s="306"/>
    </row>
    <row r="700" spans="1:26" x14ac:dyDescent="0.35">
      <c r="A700" s="306"/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N700" s="306"/>
      <c r="O700" s="306"/>
      <c r="P700" s="306"/>
      <c r="Q700" s="306"/>
      <c r="R700" s="306"/>
      <c r="S700" s="306"/>
      <c r="T700" s="306"/>
      <c r="U700" s="306"/>
      <c r="V700" s="306"/>
      <c r="W700" s="306"/>
      <c r="X700" s="306"/>
      <c r="Y700" s="306"/>
      <c r="Z700" s="306"/>
    </row>
    <row r="701" spans="1:26" x14ac:dyDescent="0.35">
      <c r="A701" s="306"/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N701" s="306"/>
      <c r="O701" s="306"/>
      <c r="P701" s="306"/>
      <c r="Q701" s="306"/>
      <c r="R701" s="306"/>
      <c r="S701" s="306"/>
      <c r="T701" s="306"/>
      <c r="U701" s="306"/>
      <c r="V701" s="306"/>
      <c r="W701" s="306"/>
      <c r="X701" s="306"/>
      <c r="Y701" s="306"/>
      <c r="Z701" s="306"/>
    </row>
    <row r="702" spans="1:26" x14ac:dyDescent="0.35">
      <c r="A702" s="306"/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N702" s="306"/>
      <c r="O702" s="306"/>
      <c r="P702" s="306"/>
      <c r="Q702" s="306"/>
      <c r="R702" s="306"/>
      <c r="S702" s="306"/>
      <c r="T702" s="306"/>
      <c r="U702" s="306"/>
      <c r="V702" s="306"/>
      <c r="W702" s="306"/>
      <c r="X702" s="306"/>
      <c r="Y702" s="306"/>
      <c r="Z702" s="306"/>
    </row>
    <row r="703" spans="1:26" x14ac:dyDescent="0.35">
      <c r="A703" s="306"/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N703" s="306"/>
      <c r="O703" s="306"/>
      <c r="P703" s="306"/>
      <c r="Q703" s="306"/>
      <c r="R703" s="306"/>
      <c r="S703" s="306"/>
      <c r="T703" s="306"/>
      <c r="U703" s="306"/>
      <c r="V703" s="306"/>
      <c r="W703" s="306"/>
      <c r="X703" s="306"/>
      <c r="Y703" s="306"/>
      <c r="Z703" s="306"/>
    </row>
    <row r="704" spans="1:26" x14ac:dyDescent="0.35">
      <c r="A704" s="306"/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N704" s="306"/>
      <c r="O704" s="306"/>
      <c r="P704" s="306"/>
      <c r="Q704" s="306"/>
      <c r="R704" s="306"/>
      <c r="S704" s="306"/>
      <c r="T704" s="306"/>
      <c r="U704" s="306"/>
      <c r="V704" s="306"/>
      <c r="W704" s="306"/>
      <c r="X704" s="306"/>
      <c r="Y704" s="306"/>
      <c r="Z704" s="306"/>
    </row>
    <row r="705" spans="1:26" x14ac:dyDescent="0.35">
      <c r="A705" s="306"/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N705" s="306"/>
      <c r="O705" s="306"/>
      <c r="P705" s="306"/>
      <c r="Q705" s="306"/>
      <c r="R705" s="306"/>
      <c r="S705" s="306"/>
      <c r="T705" s="306"/>
      <c r="U705" s="306"/>
      <c r="V705" s="306"/>
      <c r="W705" s="306"/>
      <c r="X705" s="306"/>
      <c r="Y705" s="306"/>
      <c r="Z705" s="306"/>
    </row>
    <row r="706" spans="1:26" x14ac:dyDescent="0.35">
      <c r="A706" s="306"/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N706" s="306"/>
      <c r="O706" s="306"/>
      <c r="P706" s="306"/>
      <c r="Q706" s="306"/>
      <c r="R706" s="306"/>
      <c r="S706" s="306"/>
      <c r="T706" s="306"/>
      <c r="U706" s="306"/>
      <c r="V706" s="306"/>
      <c r="W706" s="306"/>
      <c r="X706" s="306"/>
      <c r="Y706" s="306"/>
      <c r="Z706" s="306"/>
    </row>
    <row r="707" spans="1:26" x14ac:dyDescent="0.35">
      <c r="A707" s="306"/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N707" s="306"/>
      <c r="O707" s="306"/>
      <c r="P707" s="306"/>
      <c r="Q707" s="306"/>
      <c r="R707" s="306"/>
      <c r="S707" s="306"/>
      <c r="T707" s="306"/>
      <c r="U707" s="306"/>
      <c r="V707" s="306"/>
      <c r="W707" s="306"/>
      <c r="X707" s="306"/>
      <c r="Y707" s="306"/>
      <c r="Z707" s="306"/>
    </row>
    <row r="708" spans="1:26" x14ac:dyDescent="0.35">
      <c r="A708" s="306"/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N708" s="306"/>
      <c r="O708" s="306"/>
      <c r="P708" s="306"/>
      <c r="Q708" s="306"/>
      <c r="R708" s="306"/>
      <c r="S708" s="306"/>
      <c r="T708" s="306"/>
      <c r="U708" s="306"/>
      <c r="V708" s="306"/>
      <c r="W708" s="306"/>
      <c r="X708" s="306"/>
      <c r="Y708" s="306"/>
      <c r="Z708" s="306"/>
    </row>
    <row r="709" spans="1:26" x14ac:dyDescent="0.35">
      <c r="A709" s="306"/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N709" s="306"/>
      <c r="O709" s="306"/>
      <c r="P709" s="306"/>
      <c r="Q709" s="306"/>
      <c r="R709" s="306"/>
      <c r="S709" s="306"/>
      <c r="T709" s="306"/>
      <c r="U709" s="306"/>
      <c r="V709" s="306"/>
      <c r="W709" s="306"/>
      <c r="X709" s="306"/>
      <c r="Y709" s="306"/>
      <c r="Z709" s="306"/>
    </row>
    <row r="710" spans="1:26" x14ac:dyDescent="0.35">
      <c r="A710" s="306"/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N710" s="306"/>
      <c r="O710" s="306"/>
      <c r="P710" s="306"/>
      <c r="Q710" s="306"/>
      <c r="R710" s="306"/>
      <c r="S710" s="306"/>
      <c r="T710" s="306"/>
      <c r="U710" s="306"/>
      <c r="V710" s="306"/>
      <c r="W710" s="306"/>
      <c r="X710" s="306"/>
      <c r="Y710" s="306"/>
      <c r="Z710" s="306"/>
    </row>
    <row r="711" spans="1:26" x14ac:dyDescent="0.35">
      <c r="A711" s="306"/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N711" s="306"/>
      <c r="O711" s="306"/>
      <c r="P711" s="306"/>
      <c r="Q711" s="306"/>
      <c r="R711" s="306"/>
      <c r="S711" s="306"/>
      <c r="T711" s="306"/>
      <c r="U711" s="306"/>
      <c r="V711" s="306"/>
      <c r="W711" s="306"/>
      <c r="X711" s="306"/>
      <c r="Y711" s="306"/>
      <c r="Z711" s="306"/>
    </row>
    <row r="712" spans="1:26" x14ac:dyDescent="0.35">
      <c r="A712" s="306"/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N712" s="306"/>
      <c r="O712" s="306"/>
      <c r="P712" s="306"/>
      <c r="Q712" s="306"/>
      <c r="R712" s="306"/>
      <c r="S712" s="306"/>
      <c r="T712" s="306"/>
      <c r="U712" s="306"/>
      <c r="V712" s="306"/>
      <c r="W712" s="306"/>
      <c r="X712" s="306"/>
      <c r="Y712" s="306"/>
      <c r="Z712" s="306"/>
    </row>
    <row r="713" spans="1:26" x14ac:dyDescent="0.35">
      <c r="A713" s="306"/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N713" s="306"/>
      <c r="O713" s="306"/>
      <c r="P713" s="306"/>
      <c r="Q713" s="306"/>
      <c r="R713" s="306"/>
      <c r="S713" s="306"/>
      <c r="T713" s="306"/>
      <c r="U713" s="306"/>
      <c r="V713" s="306"/>
      <c r="W713" s="306"/>
      <c r="X713" s="306"/>
      <c r="Y713" s="306"/>
      <c r="Z713" s="306"/>
    </row>
    <row r="714" spans="1:26" x14ac:dyDescent="0.35">
      <c r="A714" s="306"/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N714" s="306"/>
      <c r="O714" s="306"/>
      <c r="P714" s="306"/>
      <c r="Q714" s="306"/>
      <c r="R714" s="306"/>
      <c r="S714" s="306"/>
      <c r="T714" s="306"/>
      <c r="U714" s="306"/>
      <c r="V714" s="306"/>
      <c r="W714" s="306"/>
      <c r="X714" s="306"/>
      <c r="Y714" s="306"/>
      <c r="Z714" s="306"/>
    </row>
    <row r="715" spans="1:26" x14ac:dyDescent="0.35">
      <c r="A715" s="306"/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N715" s="306"/>
      <c r="O715" s="306"/>
      <c r="P715" s="306"/>
      <c r="Q715" s="306"/>
      <c r="R715" s="306"/>
      <c r="S715" s="306"/>
      <c r="T715" s="306"/>
      <c r="U715" s="306"/>
      <c r="V715" s="306"/>
      <c r="W715" s="306"/>
      <c r="X715" s="306"/>
      <c r="Y715" s="306"/>
      <c r="Z715" s="306"/>
    </row>
    <row r="716" spans="1:26" x14ac:dyDescent="0.35">
      <c r="A716" s="306"/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N716" s="306"/>
      <c r="O716" s="306"/>
      <c r="P716" s="306"/>
      <c r="Q716" s="306"/>
      <c r="R716" s="306"/>
      <c r="S716" s="306"/>
      <c r="T716" s="306"/>
      <c r="U716" s="306"/>
      <c r="V716" s="306"/>
      <c r="W716" s="306"/>
      <c r="X716" s="306"/>
      <c r="Y716" s="306"/>
      <c r="Z716" s="306"/>
    </row>
    <row r="717" spans="1:26" x14ac:dyDescent="0.35">
      <c r="A717" s="306"/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N717" s="306"/>
      <c r="O717" s="306"/>
      <c r="P717" s="306"/>
      <c r="Q717" s="306"/>
      <c r="R717" s="306"/>
      <c r="S717" s="306"/>
      <c r="T717" s="306"/>
      <c r="U717" s="306"/>
      <c r="V717" s="306"/>
      <c r="W717" s="306"/>
      <c r="X717" s="306"/>
      <c r="Y717" s="306"/>
      <c r="Z717" s="306"/>
    </row>
    <row r="718" spans="1:26" x14ac:dyDescent="0.35">
      <c r="A718" s="306"/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N718" s="306"/>
      <c r="O718" s="306"/>
      <c r="P718" s="306"/>
      <c r="Q718" s="306"/>
      <c r="R718" s="306"/>
      <c r="S718" s="306"/>
      <c r="T718" s="306"/>
      <c r="U718" s="306"/>
      <c r="V718" s="306"/>
      <c r="W718" s="306"/>
      <c r="X718" s="306"/>
      <c r="Y718" s="306"/>
      <c r="Z718" s="306"/>
    </row>
    <row r="719" spans="1:26" x14ac:dyDescent="0.35">
      <c r="A719" s="306"/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N719" s="306"/>
      <c r="O719" s="306"/>
      <c r="P719" s="306"/>
      <c r="Q719" s="306"/>
      <c r="R719" s="306"/>
      <c r="S719" s="306"/>
      <c r="T719" s="306"/>
      <c r="U719" s="306"/>
      <c r="V719" s="306"/>
      <c r="W719" s="306"/>
      <c r="X719" s="306"/>
      <c r="Y719" s="306"/>
      <c r="Z719" s="306"/>
    </row>
    <row r="720" spans="1:26" x14ac:dyDescent="0.35">
      <c r="A720" s="306"/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N720" s="306"/>
      <c r="O720" s="306"/>
      <c r="P720" s="306"/>
      <c r="Q720" s="306"/>
      <c r="R720" s="306"/>
      <c r="S720" s="306"/>
      <c r="T720" s="306"/>
      <c r="U720" s="306"/>
      <c r="V720" s="306"/>
      <c r="W720" s="306"/>
      <c r="X720" s="306"/>
      <c r="Y720" s="306"/>
      <c r="Z720" s="306"/>
    </row>
    <row r="721" spans="1:26" x14ac:dyDescent="0.35">
      <c r="A721" s="306"/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N721" s="306"/>
      <c r="O721" s="306"/>
      <c r="P721" s="306"/>
      <c r="Q721" s="306"/>
      <c r="R721" s="306"/>
      <c r="S721" s="306"/>
      <c r="T721" s="306"/>
      <c r="U721" s="306"/>
      <c r="V721" s="306"/>
      <c r="W721" s="306"/>
      <c r="X721" s="306"/>
      <c r="Y721" s="306"/>
      <c r="Z721" s="306"/>
    </row>
    <row r="722" spans="1:26" x14ac:dyDescent="0.35">
      <c r="A722" s="306"/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N722" s="306"/>
      <c r="O722" s="306"/>
      <c r="P722" s="306"/>
      <c r="Q722" s="306"/>
      <c r="R722" s="306"/>
      <c r="S722" s="306"/>
      <c r="T722" s="306"/>
      <c r="U722" s="306"/>
      <c r="V722" s="306"/>
      <c r="W722" s="306"/>
      <c r="X722" s="306"/>
      <c r="Y722" s="306"/>
      <c r="Z722" s="306"/>
    </row>
    <row r="723" spans="1:26" x14ac:dyDescent="0.35">
      <c r="A723" s="306"/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N723" s="306"/>
      <c r="O723" s="306"/>
      <c r="P723" s="306"/>
      <c r="Q723" s="306"/>
      <c r="R723" s="306"/>
      <c r="S723" s="306"/>
      <c r="T723" s="306"/>
      <c r="U723" s="306"/>
      <c r="V723" s="306"/>
      <c r="W723" s="306"/>
      <c r="X723" s="306"/>
      <c r="Y723" s="306"/>
      <c r="Z723" s="306"/>
    </row>
    <row r="724" spans="1:26" x14ac:dyDescent="0.35">
      <c r="A724" s="306"/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N724" s="306"/>
      <c r="O724" s="306"/>
      <c r="P724" s="306"/>
      <c r="Q724" s="306"/>
      <c r="R724" s="306"/>
      <c r="S724" s="306"/>
      <c r="T724" s="306"/>
      <c r="U724" s="306"/>
      <c r="V724" s="306"/>
      <c r="W724" s="306"/>
      <c r="X724" s="306"/>
      <c r="Y724" s="306"/>
      <c r="Z724" s="306"/>
    </row>
    <row r="725" spans="1:26" x14ac:dyDescent="0.35">
      <c r="A725" s="306"/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N725" s="306"/>
      <c r="O725" s="306"/>
      <c r="P725" s="306"/>
      <c r="Q725" s="306"/>
      <c r="R725" s="306"/>
      <c r="S725" s="306"/>
      <c r="T725" s="306"/>
      <c r="U725" s="306"/>
      <c r="V725" s="306"/>
      <c r="W725" s="306"/>
      <c r="X725" s="306"/>
      <c r="Y725" s="306"/>
      <c r="Z725" s="306"/>
    </row>
    <row r="726" spans="1:26" x14ac:dyDescent="0.35">
      <c r="A726" s="306"/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N726" s="306"/>
      <c r="O726" s="306"/>
      <c r="P726" s="306"/>
      <c r="Q726" s="306"/>
      <c r="R726" s="306"/>
      <c r="S726" s="306"/>
      <c r="T726" s="306"/>
      <c r="U726" s="306"/>
      <c r="V726" s="306"/>
      <c r="W726" s="306"/>
      <c r="X726" s="306"/>
      <c r="Y726" s="306"/>
      <c r="Z726" s="306"/>
    </row>
    <row r="727" spans="1:26" x14ac:dyDescent="0.35">
      <c r="A727" s="306"/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N727" s="306"/>
      <c r="O727" s="306"/>
      <c r="P727" s="306"/>
      <c r="Q727" s="306"/>
      <c r="R727" s="306"/>
      <c r="S727" s="306"/>
      <c r="T727" s="306"/>
      <c r="U727" s="306"/>
      <c r="V727" s="306"/>
      <c r="W727" s="306"/>
      <c r="X727" s="306"/>
      <c r="Y727" s="306"/>
      <c r="Z727" s="306"/>
    </row>
    <row r="728" spans="1:26" x14ac:dyDescent="0.35">
      <c r="A728" s="306"/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N728" s="306"/>
      <c r="O728" s="306"/>
      <c r="P728" s="306"/>
      <c r="Q728" s="306"/>
      <c r="R728" s="306"/>
      <c r="S728" s="306"/>
      <c r="T728" s="306"/>
      <c r="U728" s="306"/>
      <c r="V728" s="306"/>
      <c r="W728" s="306"/>
      <c r="X728" s="306"/>
      <c r="Y728" s="306"/>
      <c r="Z728" s="306"/>
    </row>
    <row r="729" spans="1:26" x14ac:dyDescent="0.35">
      <c r="A729" s="306"/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N729" s="306"/>
      <c r="O729" s="306"/>
      <c r="P729" s="306"/>
      <c r="Q729" s="306"/>
      <c r="R729" s="306"/>
      <c r="S729" s="306"/>
      <c r="T729" s="306"/>
      <c r="U729" s="306"/>
      <c r="V729" s="306"/>
      <c r="W729" s="306"/>
      <c r="X729" s="306"/>
      <c r="Y729" s="306"/>
      <c r="Z729" s="306"/>
    </row>
    <row r="730" spans="1:26" x14ac:dyDescent="0.35">
      <c r="A730" s="306"/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N730" s="306"/>
      <c r="O730" s="306"/>
      <c r="P730" s="306"/>
      <c r="Q730" s="306"/>
      <c r="R730" s="306"/>
      <c r="S730" s="306"/>
      <c r="T730" s="306"/>
      <c r="U730" s="306"/>
      <c r="V730" s="306"/>
      <c r="W730" s="306"/>
      <c r="X730" s="306"/>
      <c r="Y730" s="306"/>
      <c r="Z730" s="306"/>
    </row>
    <row r="731" spans="1:26" x14ac:dyDescent="0.35">
      <c r="A731" s="306"/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N731" s="306"/>
      <c r="O731" s="306"/>
      <c r="P731" s="306"/>
      <c r="Q731" s="306"/>
      <c r="R731" s="306"/>
      <c r="S731" s="306"/>
      <c r="T731" s="306"/>
      <c r="U731" s="306"/>
      <c r="V731" s="306"/>
      <c r="W731" s="306"/>
      <c r="X731" s="306"/>
      <c r="Y731" s="306"/>
      <c r="Z731" s="306"/>
    </row>
    <row r="732" spans="1:26" x14ac:dyDescent="0.35">
      <c r="A732" s="306"/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N732" s="306"/>
      <c r="O732" s="306"/>
      <c r="P732" s="306"/>
      <c r="Q732" s="306"/>
      <c r="R732" s="306"/>
      <c r="S732" s="306"/>
      <c r="T732" s="306"/>
      <c r="U732" s="306"/>
      <c r="V732" s="306"/>
      <c r="W732" s="306"/>
      <c r="X732" s="306"/>
      <c r="Y732" s="306"/>
      <c r="Z732" s="306"/>
    </row>
    <row r="733" spans="1:26" x14ac:dyDescent="0.35">
      <c r="A733" s="306"/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N733" s="306"/>
      <c r="O733" s="306"/>
      <c r="P733" s="306"/>
      <c r="Q733" s="306"/>
      <c r="R733" s="306"/>
      <c r="S733" s="306"/>
      <c r="T733" s="306"/>
      <c r="U733" s="306"/>
      <c r="V733" s="306"/>
      <c r="W733" s="306"/>
      <c r="X733" s="306"/>
      <c r="Y733" s="306"/>
      <c r="Z733" s="306"/>
    </row>
    <row r="734" spans="1:26" x14ac:dyDescent="0.35">
      <c r="A734" s="306"/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N734" s="306"/>
      <c r="O734" s="306"/>
      <c r="P734" s="306"/>
      <c r="Q734" s="306"/>
      <c r="R734" s="306"/>
      <c r="S734" s="306"/>
      <c r="T734" s="306"/>
      <c r="U734" s="306"/>
      <c r="V734" s="306"/>
      <c r="W734" s="306"/>
      <c r="X734" s="306"/>
      <c r="Y734" s="306"/>
      <c r="Z734" s="306"/>
    </row>
    <row r="735" spans="1:26" x14ac:dyDescent="0.35">
      <c r="A735" s="306"/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N735" s="306"/>
      <c r="O735" s="306"/>
      <c r="P735" s="306"/>
      <c r="Q735" s="306"/>
      <c r="R735" s="306"/>
      <c r="S735" s="306"/>
      <c r="T735" s="306"/>
      <c r="U735" s="306"/>
      <c r="V735" s="306"/>
      <c r="W735" s="306"/>
      <c r="X735" s="306"/>
      <c r="Y735" s="306"/>
      <c r="Z735" s="306"/>
    </row>
    <row r="736" spans="1:26" x14ac:dyDescent="0.35">
      <c r="A736" s="306"/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N736" s="306"/>
      <c r="O736" s="306"/>
      <c r="P736" s="306"/>
      <c r="Q736" s="306"/>
      <c r="R736" s="306"/>
      <c r="S736" s="306"/>
      <c r="T736" s="306"/>
      <c r="U736" s="306"/>
      <c r="V736" s="306"/>
      <c r="W736" s="306"/>
      <c r="X736" s="306"/>
      <c r="Y736" s="306"/>
      <c r="Z736" s="306"/>
    </row>
    <row r="737" spans="1:26" x14ac:dyDescent="0.35">
      <c r="A737" s="306"/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N737" s="306"/>
      <c r="O737" s="306"/>
      <c r="P737" s="306"/>
      <c r="Q737" s="306"/>
      <c r="R737" s="306"/>
      <c r="S737" s="306"/>
      <c r="T737" s="306"/>
      <c r="U737" s="306"/>
      <c r="V737" s="306"/>
      <c r="W737" s="306"/>
      <c r="X737" s="306"/>
      <c r="Y737" s="306"/>
      <c r="Z737" s="306"/>
    </row>
    <row r="738" spans="1:26" x14ac:dyDescent="0.35">
      <c r="A738" s="306"/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N738" s="306"/>
      <c r="O738" s="306"/>
      <c r="P738" s="306"/>
      <c r="Q738" s="306"/>
      <c r="R738" s="306"/>
      <c r="S738" s="306"/>
      <c r="T738" s="306"/>
      <c r="U738" s="306"/>
      <c r="V738" s="306"/>
      <c r="W738" s="306"/>
      <c r="X738" s="306"/>
      <c r="Y738" s="306"/>
      <c r="Z738" s="306"/>
    </row>
    <row r="739" spans="1:26" x14ac:dyDescent="0.35">
      <c r="A739" s="306"/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N739" s="306"/>
      <c r="O739" s="306"/>
      <c r="P739" s="306"/>
      <c r="Q739" s="306"/>
      <c r="R739" s="306"/>
      <c r="S739" s="306"/>
      <c r="T739" s="306"/>
      <c r="U739" s="306"/>
      <c r="V739" s="306"/>
      <c r="W739" s="306"/>
      <c r="X739" s="306"/>
      <c r="Y739" s="306"/>
      <c r="Z739" s="306"/>
    </row>
    <row r="740" spans="1:26" x14ac:dyDescent="0.35">
      <c r="A740" s="306"/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N740" s="306"/>
      <c r="O740" s="306"/>
      <c r="P740" s="306"/>
      <c r="Q740" s="306"/>
      <c r="R740" s="306"/>
      <c r="S740" s="306"/>
      <c r="T740" s="306"/>
      <c r="U740" s="306"/>
      <c r="V740" s="306"/>
      <c r="W740" s="306"/>
      <c r="X740" s="306"/>
      <c r="Y740" s="306"/>
      <c r="Z740" s="306"/>
    </row>
    <row r="741" spans="1:26" x14ac:dyDescent="0.35">
      <c r="A741" s="306"/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N741" s="306"/>
      <c r="O741" s="306"/>
      <c r="P741" s="306"/>
      <c r="Q741" s="306"/>
      <c r="R741" s="306"/>
      <c r="S741" s="306"/>
      <c r="T741" s="306"/>
      <c r="U741" s="306"/>
      <c r="V741" s="306"/>
      <c r="W741" s="306"/>
      <c r="X741" s="306"/>
      <c r="Y741" s="306"/>
      <c r="Z741" s="306"/>
    </row>
    <row r="742" spans="1:26" x14ac:dyDescent="0.35">
      <c r="A742" s="306"/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N742" s="306"/>
      <c r="O742" s="306"/>
      <c r="P742" s="306"/>
      <c r="Q742" s="306"/>
      <c r="R742" s="306"/>
      <c r="S742" s="306"/>
      <c r="T742" s="306"/>
      <c r="U742" s="306"/>
      <c r="V742" s="306"/>
      <c r="W742" s="306"/>
      <c r="X742" s="306"/>
      <c r="Y742" s="306"/>
      <c r="Z742" s="306"/>
    </row>
    <row r="743" spans="1:26" x14ac:dyDescent="0.35">
      <c r="A743" s="306"/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N743" s="306"/>
      <c r="O743" s="306"/>
      <c r="P743" s="306"/>
      <c r="Q743" s="306"/>
      <c r="R743" s="306"/>
      <c r="S743" s="306"/>
      <c r="T743" s="306"/>
      <c r="U743" s="306"/>
      <c r="V743" s="306"/>
      <c r="W743" s="306"/>
      <c r="X743" s="306"/>
      <c r="Y743" s="306"/>
      <c r="Z743" s="306"/>
    </row>
    <row r="744" spans="1:26" x14ac:dyDescent="0.35">
      <c r="A744" s="306"/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N744" s="306"/>
      <c r="O744" s="306"/>
      <c r="P744" s="306"/>
      <c r="Q744" s="306"/>
      <c r="R744" s="306"/>
      <c r="S744" s="306"/>
      <c r="T744" s="306"/>
      <c r="U744" s="306"/>
      <c r="V744" s="306"/>
      <c r="W744" s="306"/>
      <c r="X744" s="306"/>
      <c r="Y744" s="306"/>
      <c r="Z744" s="306"/>
    </row>
    <row r="745" spans="1:26" x14ac:dyDescent="0.35">
      <c r="A745" s="306"/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N745" s="306"/>
      <c r="O745" s="306"/>
      <c r="P745" s="306"/>
      <c r="Q745" s="306"/>
      <c r="R745" s="306"/>
      <c r="S745" s="306"/>
      <c r="T745" s="306"/>
      <c r="U745" s="306"/>
      <c r="V745" s="306"/>
      <c r="W745" s="306"/>
      <c r="X745" s="306"/>
      <c r="Y745" s="306"/>
      <c r="Z745" s="306"/>
    </row>
    <row r="746" spans="1:26" x14ac:dyDescent="0.35">
      <c r="A746" s="306"/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N746" s="306"/>
      <c r="O746" s="306"/>
      <c r="P746" s="306"/>
      <c r="Q746" s="306"/>
      <c r="R746" s="306"/>
      <c r="S746" s="306"/>
      <c r="T746" s="306"/>
      <c r="U746" s="306"/>
      <c r="V746" s="306"/>
      <c r="W746" s="306"/>
      <c r="X746" s="306"/>
      <c r="Y746" s="306"/>
      <c r="Z746" s="306"/>
    </row>
    <row r="747" spans="1:26" x14ac:dyDescent="0.35">
      <c r="A747" s="306"/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N747" s="306"/>
      <c r="O747" s="306"/>
      <c r="P747" s="306"/>
      <c r="Q747" s="306"/>
      <c r="R747" s="306"/>
      <c r="S747" s="306"/>
      <c r="T747" s="306"/>
      <c r="U747" s="306"/>
      <c r="V747" s="306"/>
      <c r="W747" s="306"/>
      <c r="X747" s="306"/>
      <c r="Y747" s="306"/>
      <c r="Z747" s="306"/>
    </row>
    <row r="748" spans="1:26" x14ac:dyDescent="0.35">
      <c r="A748" s="306"/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N748" s="306"/>
      <c r="O748" s="306"/>
      <c r="P748" s="306"/>
      <c r="Q748" s="306"/>
      <c r="R748" s="306"/>
      <c r="S748" s="306"/>
      <c r="T748" s="306"/>
      <c r="U748" s="306"/>
      <c r="V748" s="306"/>
      <c r="W748" s="306"/>
      <c r="X748" s="306"/>
      <c r="Y748" s="306"/>
      <c r="Z748" s="306"/>
    </row>
    <row r="749" spans="1:26" x14ac:dyDescent="0.35">
      <c r="A749" s="306"/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N749" s="306"/>
      <c r="O749" s="306"/>
      <c r="P749" s="306"/>
      <c r="Q749" s="306"/>
      <c r="R749" s="306"/>
      <c r="S749" s="306"/>
      <c r="T749" s="306"/>
      <c r="U749" s="306"/>
      <c r="V749" s="306"/>
      <c r="W749" s="306"/>
      <c r="X749" s="306"/>
      <c r="Y749" s="306"/>
      <c r="Z749" s="306"/>
    </row>
    <row r="750" spans="1:26" x14ac:dyDescent="0.35">
      <c r="A750" s="306"/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N750" s="306"/>
      <c r="O750" s="306"/>
      <c r="P750" s="306"/>
      <c r="Q750" s="306"/>
      <c r="R750" s="306"/>
      <c r="S750" s="306"/>
      <c r="T750" s="306"/>
      <c r="U750" s="306"/>
      <c r="V750" s="306"/>
      <c r="W750" s="306"/>
      <c r="X750" s="306"/>
      <c r="Y750" s="306"/>
      <c r="Z750" s="306"/>
    </row>
    <row r="751" spans="1:26" x14ac:dyDescent="0.35">
      <c r="A751" s="306"/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N751" s="306"/>
      <c r="O751" s="306"/>
      <c r="P751" s="306"/>
      <c r="Q751" s="306"/>
      <c r="R751" s="306"/>
      <c r="S751" s="306"/>
      <c r="T751" s="306"/>
      <c r="U751" s="306"/>
      <c r="V751" s="306"/>
      <c r="W751" s="306"/>
      <c r="X751" s="306"/>
      <c r="Y751" s="306"/>
      <c r="Z751" s="306"/>
    </row>
    <row r="752" spans="1:26" x14ac:dyDescent="0.35">
      <c r="A752" s="306"/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N752" s="306"/>
      <c r="O752" s="306"/>
      <c r="P752" s="306"/>
      <c r="Q752" s="306"/>
      <c r="R752" s="306"/>
      <c r="S752" s="306"/>
      <c r="T752" s="306"/>
      <c r="U752" s="306"/>
      <c r="V752" s="306"/>
      <c r="W752" s="306"/>
      <c r="X752" s="306"/>
      <c r="Y752" s="306"/>
      <c r="Z752" s="306"/>
    </row>
    <row r="753" spans="1:26" x14ac:dyDescent="0.35">
      <c r="A753" s="306"/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N753" s="306"/>
      <c r="O753" s="306"/>
      <c r="P753" s="306"/>
      <c r="Q753" s="306"/>
      <c r="R753" s="306"/>
      <c r="S753" s="306"/>
      <c r="T753" s="306"/>
      <c r="U753" s="306"/>
      <c r="V753" s="306"/>
      <c r="W753" s="306"/>
      <c r="X753" s="306"/>
      <c r="Y753" s="306"/>
      <c r="Z753" s="306"/>
    </row>
    <row r="754" spans="1:26" x14ac:dyDescent="0.35">
      <c r="A754" s="306"/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N754" s="306"/>
      <c r="O754" s="306"/>
      <c r="P754" s="306"/>
      <c r="Q754" s="306"/>
      <c r="R754" s="306"/>
      <c r="S754" s="306"/>
      <c r="T754" s="306"/>
      <c r="U754" s="306"/>
      <c r="V754" s="306"/>
      <c r="W754" s="306"/>
      <c r="X754" s="306"/>
      <c r="Y754" s="306"/>
      <c r="Z754" s="306"/>
    </row>
    <row r="755" spans="1:26" x14ac:dyDescent="0.35">
      <c r="A755" s="306"/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N755" s="306"/>
      <c r="O755" s="306"/>
      <c r="P755" s="306"/>
      <c r="Q755" s="306"/>
      <c r="R755" s="306"/>
      <c r="S755" s="306"/>
      <c r="T755" s="306"/>
      <c r="U755" s="306"/>
      <c r="V755" s="306"/>
      <c r="W755" s="306"/>
      <c r="X755" s="306"/>
      <c r="Y755" s="306"/>
      <c r="Z755" s="306"/>
    </row>
    <row r="756" spans="1:26" x14ac:dyDescent="0.35">
      <c r="A756" s="306"/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N756" s="306"/>
      <c r="O756" s="306"/>
      <c r="P756" s="306"/>
      <c r="Q756" s="306"/>
      <c r="R756" s="306"/>
      <c r="S756" s="306"/>
      <c r="T756" s="306"/>
      <c r="U756" s="306"/>
      <c r="V756" s="306"/>
      <c r="W756" s="306"/>
      <c r="X756" s="306"/>
      <c r="Y756" s="306"/>
      <c r="Z756" s="306"/>
    </row>
    <row r="757" spans="1:26" x14ac:dyDescent="0.35">
      <c r="A757" s="306"/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N757" s="306"/>
      <c r="O757" s="306"/>
      <c r="P757" s="306"/>
      <c r="Q757" s="306"/>
      <c r="R757" s="306"/>
      <c r="S757" s="306"/>
      <c r="T757" s="306"/>
      <c r="U757" s="306"/>
      <c r="V757" s="306"/>
      <c r="W757" s="306"/>
      <c r="X757" s="306"/>
      <c r="Y757" s="306"/>
      <c r="Z757" s="306"/>
    </row>
    <row r="758" spans="1:26" x14ac:dyDescent="0.35">
      <c r="A758" s="306"/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N758" s="306"/>
      <c r="O758" s="306"/>
      <c r="P758" s="306"/>
      <c r="Q758" s="306"/>
      <c r="R758" s="306"/>
      <c r="S758" s="306"/>
      <c r="T758" s="306"/>
      <c r="U758" s="306"/>
      <c r="V758" s="306"/>
      <c r="W758" s="306"/>
      <c r="X758" s="306"/>
      <c r="Y758" s="306"/>
      <c r="Z758" s="306"/>
    </row>
    <row r="759" spans="1:26" x14ac:dyDescent="0.35">
      <c r="A759" s="306"/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N759" s="306"/>
      <c r="O759" s="306"/>
      <c r="P759" s="306"/>
      <c r="Q759" s="306"/>
      <c r="R759" s="306"/>
      <c r="S759" s="306"/>
      <c r="T759" s="306"/>
      <c r="U759" s="306"/>
      <c r="V759" s="306"/>
      <c r="W759" s="306"/>
      <c r="X759" s="306"/>
      <c r="Y759" s="306"/>
      <c r="Z759" s="306"/>
    </row>
    <row r="760" spans="1:26" x14ac:dyDescent="0.35">
      <c r="A760" s="306"/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N760" s="306"/>
      <c r="O760" s="306"/>
      <c r="P760" s="306"/>
      <c r="Q760" s="306"/>
      <c r="R760" s="306"/>
      <c r="S760" s="306"/>
      <c r="T760" s="306"/>
      <c r="U760" s="306"/>
      <c r="V760" s="306"/>
      <c r="W760" s="306"/>
      <c r="X760" s="306"/>
      <c r="Y760" s="306"/>
      <c r="Z760" s="306"/>
    </row>
    <row r="761" spans="1:26" x14ac:dyDescent="0.35">
      <c r="A761" s="306"/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N761" s="306"/>
      <c r="O761" s="306"/>
      <c r="P761" s="306"/>
      <c r="Q761" s="306"/>
      <c r="R761" s="306"/>
      <c r="S761" s="306"/>
      <c r="T761" s="306"/>
      <c r="U761" s="306"/>
      <c r="V761" s="306"/>
      <c r="W761" s="306"/>
      <c r="X761" s="306"/>
      <c r="Y761" s="306"/>
      <c r="Z761" s="306"/>
    </row>
    <row r="762" spans="1:26" x14ac:dyDescent="0.35">
      <c r="A762" s="306"/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N762" s="306"/>
      <c r="O762" s="306"/>
      <c r="P762" s="306"/>
      <c r="Q762" s="306"/>
      <c r="R762" s="306"/>
      <c r="S762" s="306"/>
      <c r="T762" s="306"/>
      <c r="U762" s="306"/>
      <c r="V762" s="306"/>
      <c r="W762" s="306"/>
      <c r="X762" s="306"/>
      <c r="Y762" s="306"/>
      <c r="Z762" s="306"/>
    </row>
    <row r="763" spans="1:26" x14ac:dyDescent="0.35">
      <c r="A763" s="306"/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N763" s="306"/>
      <c r="O763" s="306"/>
      <c r="P763" s="306"/>
      <c r="Q763" s="306"/>
      <c r="R763" s="306"/>
      <c r="S763" s="306"/>
      <c r="T763" s="306"/>
      <c r="U763" s="306"/>
      <c r="V763" s="306"/>
      <c r="W763" s="306"/>
      <c r="X763" s="306"/>
      <c r="Y763" s="306"/>
      <c r="Z763" s="306"/>
    </row>
    <row r="764" spans="1:26" x14ac:dyDescent="0.35">
      <c r="A764" s="306"/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N764" s="306"/>
      <c r="O764" s="306"/>
      <c r="P764" s="306"/>
      <c r="Q764" s="306"/>
      <c r="R764" s="306"/>
      <c r="S764" s="306"/>
      <c r="T764" s="306"/>
      <c r="U764" s="306"/>
      <c r="V764" s="306"/>
      <c r="W764" s="306"/>
      <c r="X764" s="306"/>
      <c r="Y764" s="306"/>
      <c r="Z764" s="306"/>
    </row>
    <row r="765" spans="1:26" x14ac:dyDescent="0.35">
      <c r="A765" s="306"/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N765" s="306"/>
      <c r="O765" s="306"/>
      <c r="P765" s="306"/>
      <c r="Q765" s="306"/>
      <c r="R765" s="306"/>
      <c r="S765" s="306"/>
      <c r="T765" s="306"/>
      <c r="U765" s="306"/>
      <c r="V765" s="306"/>
      <c r="W765" s="306"/>
      <c r="X765" s="306"/>
      <c r="Y765" s="306"/>
      <c r="Z765" s="306"/>
    </row>
    <row r="766" spans="1:26" x14ac:dyDescent="0.35">
      <c r="A766" s="306"/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N766" s="306"/>
      <c r="O766" s="306"/>
      <c r="P766" s="306"/>
      <c r="Q766" s="306"/>
      <c r="R766" s="306"/>
      <c r="S766" s="306"/>
      <c r="T766" s="306"/>
      <c r="U766" s="306"/>
      <c r="V766" s="306"/>
      <c r="W766" s="306"/>
      <c r="X766" s="306"/>
      <c r="Y766" s="306"/>
      <c r="Z766" s="306"/>
    </row>
    <row r="767" spans="1:26" x14ac:dyDescent="0.35">
      <c r="A767" s="306"/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N767" s="306"/>
      <c r="O767" s="306"/>
      <c r="P767" s="306"/>
      <c r="Q767" s="306"/>
      <c r="R767" s="306"/>
      <c r="S767" s="306"/>
      <c r="T767" s="306"/>
      <c r="U767" s="306"/>
      <c r="V767" s="306"/>
      <c r="W767" s="306"/>
      <c r="X767" s="306"/>
      <c r="Y767" s="306"/>
      <c r="Z767" s="306"/>
    </row>
    <row r="768" spans="1:26" x14ac:dyDescent="0.35">
      <c r="A768" s="306"/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N768" s="306"/>
      <c r="O768" s="306"/>
      <c r="P768" s="306"/>
      <c r="Q768" s="306"/>
      <c r="R768" s="306"/>
      <c r="S768" s="306"/>
      <c r="T768" s="306"/>
      <c r="U768" s="306"/>
      <c r="V768" s="306"/>
      <c r="W768" s="306"/>
      <c r="X768" s="306"/>
      <c r="Y768" s="306"/>
      <c r="Z768" s="306"/>
    </row>
    <row r="769" spans="1:26" x14ac:dyDescent="0.35">
      <c r="A769" s="306"/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N769" s="306"/>
      <c r="O769" s="306"/>
      <c r="P769" s="306"/>
      <c r="Q769" s="306"/>
      <c r="R769" s="306"/>
      <c r="S769" s="306"/>
      <c r="T769" s="306"/>
      <c r="U769" s="306"/>
      <c r="V769" s="306"/>
      <c r="W769" s="306"/>
      <c r="X769" s="306"/>
      <c r="Y769" s="306"/>
      <c r="Z769" s="306"/>
    </row>
    <row r="770" spans="1:26" x14ac:dyDescent="0.35">
      <c r="A770" s="306"/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N770" s="306"/>
      <c r="O770" s="306"/>
      <c r="P770" s="306"/>
      <c r="Q770" s="306"/>
      <c r="R770" s="306"/>
      <c r="S770" s="306"/>
      <c r="T770" s="306"/>
      <c r="U770" s="306"/>
      <c r="V770" s="306"/>
      <c r="W770" s="306"/>
      <c r="X770" s="306"/>
      <c r="Y770" s="306"/>
      <c r="Z770" s="306"/>
    </row>
    <row r="771" spans="1:26" x14ac:dyDescent="0.35">
      <c r="A771" s="306"/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N771" s="306"/>
      <c r="O771" s="306"/>
      <c r="P771" s="306"/>
      <c r="Q771" s="306"/>
      <c r="R771" s="306"/>
      <c r="S771" s="306"/>
      <c r="T771" s="306"/>
      <c r="U771" s="306"/>
      <c r="V771" s="306"/>
      <c r="W771" s="306"/>
      <c r="X771" s="306"/>
      <c r="Y771" s="306"/>
      <c r="Z771" s="306"/>
    </row>
    <row r="772" spans="1:26" x14ac:dyDescent="0.35">
      <c r="A772" s="306"/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N772" s="306"/>
      <c r="O772" s="306"/>
      <c r="P772" s="306"/>
      <c r="Q772" s="306"/>
      <c r="R772" s="306"/>
      <c r="S772" s="306"/>
      <c r="T772" s="306"/>
      <c r="U772" s="306"/>
      <c r="V772" s="306"/>
      <c r="W772" s="306"/>
      <c r="X772" s="306"/>
      <c r="Y772" s="306"/>
      <c r="Z772" s="306"/>
    </row>
    <row r="773" spans="1:26" x14ac:dyDescent="0.35">
      <c r="A773" s="306"/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N773" s="306"/>
      <c r="O773" s="306"/>
      <c r="P773" s="306"/>
      <c r="Q773" s="306"/>
      <c r="R773" s="306"/>
      <c r="S773" s="306"/>
      <c r="T773" s="306"/>
      <c r="U773" s="306"/>
      <c r="V773" s="306"/>
      <c r="W773" s="306"/>
      <c r="X773" s="306"/>
      <c r="Y773" s="306"/>
      <c r="Z773" s="306"/>
    </row>
    <row r="774" spans="1:26" x14ac:dyDescent="0.35">
      <c r="A774" s="306"/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N774" s="306"/>
      <c r="O774" s="306"/>
      <c r="P774" s="306"/>
      <c r="Q774" s="306"/>
      <c r="R774" s="306"/>
      <c r="S774" s="306"/>
      <c r="T774" s="306"/>
      <c r="U774" s="306"/>
      <c r="V774" s="306"/>
      <c r="W774" s="306"/>
      <c r="X774" s="306"/>
      <c r="Y774" s="306"/>
      <c r="Z774" s="306"/>
    </row>
    <row r="775" spans="1:26" x14ac:dyDescent="0.35">
      <c r="A775" s="306"/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N775" s="306"/>
      <c r="O775" s="306"/>
      <c r="P775" s="306"/>
      <c r="Q775" s="306"/>
      <c r="R775" s="306"/>
      <c r="S775" s="306"/>
      <c r="T775" s="306"/>
      <c r="U775" s="306"/>
      <c r="V775" s="306"/>
      <c r="W775" s="306"/>
      <c r="X775" s="306"/>
      <c r="Y775" s="306"/>
      <c r="Z775" s="306"/>
    </row>
    <row r="776" spans="1:26" x14ac:dyDescent="0.35">
      <c r="A776" s="306"/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N776" s="306"/>
      <c r="O776" s="306"/>
      <c r="P776" s="306"/>
      <c r="Q776" s="306"/>
      <c r="R776" s="306"/>
      <c r="S776" s="306"/>
      <c r="T776" s="306"/>
      <c r="U776" s="306"/>
      <c r="V776" s="306"/>
      <c r="W776" s="306"/>
      <c r="X776" s="306"/>
      <c r="Y776" s="306"/>
      <c r="Z776" s="306"/>
    </row>
    <row r="777" spans="1:26" x14ac:dyDescent="0.35">
      <c r="A777" s="306"/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N777" s="306"/>
      <c r="O777" s="306"/>
      <c r="P777" s="306"/>
      <c r="Q777" s="306"/>
      <c r="R777" s="306"/>
      <c r="S777" s="306"/>
      <c r="T777" s="306"/>
      <c r="U777" s="306"/>
      <c r="V777" s="306"/>
      <c r="W777" s="306"/>
      <c r="X777" s="306"/>
      <c r="Y777" s="306"/>
      <c r="Z777" s="306"/>
    </row>
    <row r="778" spans="1:26" x14ac:dyDescent="0.35">
      <c r="A778" s="306"/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N778" s="306"/>
      <c r="O778" s="306"/>
      <c r="P778" s="306"/>
      <c r="Q778" s="306"/>
      <c r="R778" s="306"/>
      <c r="S778" s="306"/>
      <c r="T778" s="306"/>
      <c r="U778" s="306"/>
      <c r="V778" s="306"/>
      <c r="W778" s="306"/>
      <c r="X778" s="306"/>
      <c r="Y778" s="306"/>
      <c r="Z778" s="306"/>
    </row>
    <row r="779" spans="1:26" x14ac:dyDescent="0.35">
      <c r="A779" s="306"/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N779" s="306"/>
      <c r="O779" s="306"/>
      <c r="P779" s="306"/>
      <c r="Q779" s="306"/>
      <c r="R779" s="306"/>
      <c r="S779" s="306"/>
      <c r="T779" s="306"/>
      <c r="U779" s="306"/>
      <c r="V779" s="306"/>
      <c r="W779" s="306"/>
      <c r="X779" s="306"/>
      <c r="Y779" s="306"/>
      <c r="Z779" s="306"/>
    </row>
    <row r="780" spans="1:26" x14ac:dyDescent="0.35">
      <c r="A780" s="306"/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N780" s="306"/>
      <c r="O780" s="306"/>
      <c r="P780" s="306"/>
      <c r="Q780" s="306"/>
      <c r="R780" s="306"/>
      <c r="S780" s="306"/>
      <c r="T780" s="306"/>
      <c r="U780" s="306"/>
      <c r="V780" s="306"/>
      <c r="W780" s="306"/>
      <c r="X780" s="306"/>
      <c r="Y780" s="306"/>
      <c r="Z780" s="306"/>
    </row>
    <row r="781" spans="1:26" x14ac:dyDescent="0.35">
      <c r="A781" s="306"/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N781" s="306"/>
      <c r="O781" s="306"/>
      <c r="P781" s="306"/>
      <c r="Q781" s="306"/>
      <c r="R781" s="306"/>
      <c r="S781" s="306"/>
      <c r="T781" s="306"/>
      <c r="U781" s="306"/>
      <c r="V781" s="306"/>
      <c r="W781" s="306"/>
      <c r="X781" s="306"/>
      <c r="Y781" s="306"/>
      <c r="Z781" s="306"/>
    </row>
    <row r="782" spans="1:26" x14ac:dyDescent="0.35">
      <c r="A782" s="306"/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N782" s="306"/>
      <c r="O782" s="306"/>
      <c r="P782" s="306"/>
      <c r="Q782" s="306"/>
      <c r="R782" s="306"/>
      <c r="S782" s="306"/>
      <c r="T782" s="306"/>
      <c r="U782" s="306"/>
      <c r="V782" s="306"/>
      <c r="W782" s="306"/>
      <c r="X782" s="306"/>
      <c r="Y782" s="306"/>
      <c r="Z782" s="306"/>
    </row>
    <row r="783" spans="1:26" x14ac:dyDescent="0.35">
      <c r="A783" s="306"/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N783" s="306"/>
      <c r="O783" s="306"/>
      <c r="P783" s="306"/>
      <c r="Q783" s="306"/>
      <c r="R783" s="306"/>
      <c r="S783" s="306"/>
      <c r="T783" s="306"/>
      <c r="U783" s="306"/>
      <c r="V783" s="306"/>
      <c r="W783" s="306"/>
      <c r="X783" s="306"/>
      <c r="Y783" s="306"/>
      <c r="Z783" s="306"/>
    </row>
    <row r="784" spans="1:26" x14ac:dyDescent="0.35">
      <c r="A784" s="306"/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N784" s="306"/>
      <c r="O784" s="306"/>
      <c r="P784" s="306"/>
      <c r="Q784" s="306"/>
      <c r="R784" s="306"/>
      <c r="S784" s="306"/>
      <c r="T784" s="306"/>
      <c r="U784" s="306"/>
      <c r="V784" s="306"/>
      <c r="W784" s="306"/>
      <c r="X784" s="306"/>
      <c r="Y784" s="306"/>
      <c r="Z784" s="306"/>
    </row>
    <row r="785" spans="1:26" x14ac:dyDescent="0.35">
      <c r="A785" s="306"/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N785" s="306"/>
      <c r="O785" s="306"/>
      <c r="P785" s="306"/>
      <c r="Q785" s="306"/>
      <c r="R785" s="306"/>
      <c r="S785" s="306"/>
      <c r="T785" s="306"/>
      <c r="U785" s="306"/>
      <c r="V785" s="306"/>
      <c r="W785" s="306"/>
      <c r="X785" s="306"/>
      <c r="Y785" s="306"/>
      <c r="Z785" s="306"/>
    </row>
    <row r="786" spans="1:26" x14ac:dyDescent="0.35">
      <c r="A786" s="306"/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N786" s="306"/>
      <c r="O786" s="306"/>
      <c r="P786" s="306"/>
      <c r="Q786" s="306"/>
      <c r="R786" s="306"/>
      <c r="S786" s="306"/>
      <c r="T786" s="306"/>
      <c r="U786" s="306"/>
      <c r="V786" s="306"/>
      <c r="W786" s="306"/>
      <c r="X786" s="306"/>
      <c r="Y786" s="306"/>
      <c r="Z786" s="306"/>
    </row>
    <row r="787" spans="1:26" x14ac:dyDescent="0.35">
      <c r="A787" s="306"/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N787" s="306"/>
      <c r="O787" s="306"/>
      <c r="P787" s="306"/>
      <c r="Q787" s="306"/>
      <c r="R787" s="306"/>
      <c r="S787" s="306"/>
      <c r="T787" s="306"/>
      <c r="U787" s="306"/>
      <c r="V787" s="306"/>
      <c r="W787" s="306"/>
      <c r="X787" s="306"/>
      <c r="Y787" s="306"/>
      <c r="Z787" s="306"/>
    </row>
    <row r="788" spans="1:26" x14ac:dyDescent="0.35">
      <c r="A788" s="306"/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N788" s="306"/>
      <c r="O788" s="306"/>
      <c r="P788" s="306"/>
      <c r="Q788" s="306"/>
      <c r="R788" s="306"/>
      <c r="S788" s="306"/>
      <c r="T788" s="306"/>
      <c r="U788" s="306"/>
      <c r="V788" s="306"/>
      <c r="W788" s="306"/>
      <c r="X788" s="306"/>
      <c r="Y788" s="306"/>
      <c r="Z788" s="306"/>
    </row>
    <row r="789" spans="1:26" x14ac:dyDescent="0.35">
      <c r="A789" s="306"/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N789" s="306"/>
      <c r="O789" s="306"/>
      <c r="P789" s="306"/>
      <c r="Q789" s="306"/>
      <c r="R789" s="306"/>
      <c r="S789" s="306"/>
      <c r="T789" s="306"/>
      <c r="U789" s="306"/>
      <c r="V789" s="306"/>
      <c r="W789" s="306"/>
      <c r="X789" s="306"/>
      <c r="Y789" s="306"/>
      <c r="Z789" s="306"/>
    </row>
    <row r="790" spans="1:26" x14ac:dyDescent="0.35">
      <c r="A790" s="306"/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N790" s="306"/>
      <c r="O790" s="306"/>
      <c r="P790" s="306"/>
      <c r="Q790" s="306"/>
      <c r="R790" s="306"/>
      <c r="S790" s="306"/>
      <c r="T790" s="306"/>
      <c r="U790" s="306"/>
      <c r="V790" s="306"/>
      <c r="W790" s="306"/>
      <c r="X790" s="306"/>
      <c r="Y790" s="306"/>
      <c r="Z790" s="306"/>
    </row>
    <row r="791" spans="1:26" x14ac:dyDescent="0.35">
      <c r="A791" s="306"/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N791" s="306"/>
      <c r="O791" s="306"/>
      <c r="P791" s="306"/>
      <c r="Q791" s="306"/>
      <c r="R791" s="306"/>
      <c r="S791" s="306"/>
      <c r="T791" s="306"/>
      <c r="U791" s="306"/>
      <c r="V791" s="306"/>
      <c r="W791" s="306"/>
      <c r="X791" s="306"/>
      <c r="Y791" s="306"/>
      <c r="Z791" s="306"/>
    </row>
    <row r="792" spans="1:26" x14ac:dyDescent="0.35">
      <c r="A792" s="306"/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N792" s="306"/>
      <c r="O792" s="306"/>
      <c r="P792" s="306"/>
      <c r="Q792" s="306"/>
      <c r="R792" s="306"/>
      <c r="S792" s="306"/>
      <c r="T792" s="306"/>
      <c r="U792" s="306"/>
      <c r="V792" s="306"/>
      <c r="W792" s="306"/>
      <c r="X792" s="306"/>
      <c r="Y792" s="306"/>
      <c r="Z792" s="306"/>
    </row>
    <row r="793" spans="1:26" x14ac:dyDescent="0.35">
      <c r="A793" s="306"/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N793" s="306"/>
      <c r="O793" s="306"/>
      <c r="P793" s="306"/>
      <c r="Q793" s="306"/>
      <c r="R793" s="306"/>
      <c r="S793" s="306"/>
      <c r="T793" s="306"/>
      <c r="U793" s="306"/>
      <c r="V793" s="306"/>
      <c r="W793" s="306"/>
      <c r="X793" s="306"/>
      <c r="Y793" s="306"/>
      <c r="Z793" s="306"/>
    </row>
    <row r="794" spans="1:26" x14ac:dyDescent="0.35">
      <c r="A794" s="306"/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N794" s="306"/>
      <c r="O794" s="306"/>
      <c r="P794" s="306"/>
      <c r="Q794" s="306"/>
      <c r="R794" s="306"/>
      <c r="S794" s="306"/>
      <c r="T794" s="306"/>
      <c r="U794" s="306"/>
      <c r="V794" s="306"/>
      <c r="W794" s="306"/>
      <c r="X794" s="306"/>
      <c r="Y794" s="306"/>
      <c r="Z794" s="306"/>
    </row>
    <row r="795" spans="1:26" x14ac:dyDescent="0.35">
      <c r="A795" s="306"/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N795" s="306"/>
      <c r="O795" s="306"/>
      <c r="P795" s="306"/>
      <c r="Q795" s="306"/>
      <c r="R795" s="306"/>
      <c r="S795" s="306"/>
      <c r="T795" s="306"/>
      <c r="U795" s="306"/>
      <c r="V795" s="306"/>
      <c r="W795" s="306"/>
      <c r="X795" s="306"/>
      <c r="Y795" s="306"/>
      <c r="Z795" s="306"/>
    </row>
    <row r="796" spans="1:26" x14ac:dyDescent="0.35">
      <c r="A796" s="306"/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N796" s="306"/>
      <c r="O796" s="306"/>
      <c r="P796" s="306"/>
      <c r="Q796" s="306"/>
      <c r="R796" s="306"/>
      <c r="S796" s="306"/>
      <c r="T796" s="306"/>
      <c r="U796" s="306"/>
      <c r="V796" s="306"/>
      <c r="W796" s="306"/>
      <c r="X796" s="306"/>
      <c r="Y796" s="306"/>
      <c r="Z796" s="306"/>
    </row>
    <row r="797" spans="1:26" x14ac:dyDescent="0.35">
      <c r="A797" s="306"/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N797" s="306"/>
      <c r="O797" s="306"/>
      <c r="P797" s="306"/>
      <c r="Q797" s="306"/>
      <c r="R797" s="306"/>
      <c r="S797" s="306"/>
      <c r="T797" s="306"/>
      <c r="U797" s="306"/>
      <c r="V797" s="306"/>
      <c r="W797" s="306"/>
      <c r="X797" s="306"/>
      <c r="Y797" s="306"/>
      <c r="Z797" s="306"/>
    </row>
    <row r="798" spans="1:26" x14ac:dyDescent="0.35">
      <c r="A798" s="306"/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N798" s="306"/>
      <c r="O798" s="306"/>
      <c r="P798" s="306"/>
      <c r="Q798" s="306"/>
      <c r="R798" s="306"/>
      <c r="S798" s="306"/>
      <c r="T798" s="306"/>
      <c r="U798" s="306"/>
      <c r="V798" s="306"/>
      <c r="W798" s="306"/>
      <c r="X798" s="306"/>
      <c r="Y798" s="306"/>
      <c r="Z798" s="306"/>
    </row>
    <row r="799" spans="1:26" x14ac:dyDescent="0.35">
      <c r="A799" s="306"/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N799" s="306"/>
      <c r="O799" s="306"/>
      <c r="P799" s="306"/>
      <c r="Q799" s="306"/>
      <c r="R799" s="306"/>
      <c r="S799" s="306"/>
      <c r="T799" s="306"/>
      <c r="U799" s="306"/>
      <c r="V799" s="306"/>
      <c r="W799" s="306"/>
      <c r="X799" s="306"/>
      <c r="Y799" s="306"/>
      <c r="Z799" s="306"/>
    </row>
    <row r="800" spans="1:26" x14ac:dyDescent="0.35">
      <c r="A800" s="306"/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N800" s="306"/>
      <c r="O800" s="306"/>
      <c r="P800" s="306"/>
      <c r="Q800" s="306"/>
      <c r="R800" s="306"/>
      <c r="S800" s="306"/>
      <c r="T800" s="306"/>
      <c r="U800" s="306"/>
      <c r="V800" s="306"/>
      <c r="W800" s="306"/>
      <c r="X800" s="306"/>
      <c r="Y800" s="306"/>
      <c r="Z800" s="306"/>
    </row>
    <row r="801" spans="1:26" x14ac:dyDescent="0.35">
      <c r="A801" s="306"/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N801" s="306"/>
      <c r="O801" s="306"/>
      <c r="P801" s="306"/>
      <c r="Q801" s="306"/>
      <c r="R801" s="306"/>
      <c r="S801" s="306"/>
      <c r="T801" s="306"/>
      <c r="U801" s="306"/>
      <c r="V801" s="306"/>
      <c r="W801" s="306"/>
      <c r="X801" s="306"/>
      <c r="Y801" s="306"/>
      <c r="Z801" s="306"/>
    </row>
    <row r="802" spans="1:26" x14ac:dyDescent="0.35">
      <c r="A802" s="306"/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N802" s="306"/>
      <c r="O802" s="306"/>
      <c r="P802" s="306"/>
      <c r="Q802" s="306"/>
      <c r="R802" s="306"/>
      <c r="S802" s="306"/>
      <c r="T802" s="306"/>
      <c r="U802" s="306"/>
      <c r="V802" s="306"/>
      <c r="W802" s="306"/>
      <c r="X802" s="306"/>
      <c r="Y802" s="306"/>
      <c r="Z802" s="306"/>
    </row>
    <row r="803" spans="1:26" x14ac:dyDescent="0.35">
      <c r="A803" s="306"/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N803" s="306"/>
      <c r="O803" s="306"/>
      <c r="P803" s="306"/>
      <c r="Q803" s="306"/>
      <c r="R803" s="306"/>
      <c r="S803" s="306"/>
      <c r="T803" s="306"/>
      <c r="U803" s="306"/>
      <c r="V803" s="306"/>
      <c r="W803" s="306"/>
      <c r="X803" s="306"/>
      <c r="Y803" s="306"/>
      <c r="Z803" s="306"/>
    </row>
    <row r="804" spans="1:26" x14ac:dyDescent="0.35">
      <c r="A804" s="306"/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N804" s="306"/>
      <c r="O804" s="306"/>
      <c r="P804" s="306"/>
      <c r="Q804" s="306"/>
      <c r="R804" s="306"/>
      <c r="S804" s="306"/>
      <c r="T804" s="306"/>
      <c r="U804" s="306"/>
      <c r="V804" s="306"/>
      <c r="W804" s="306"/>
      <c r="X804" s="306"/>
      <c r="Y804" s="306"/>
      <c r="Z804" s="306"/>
    </row>
    <row r="805" spans="1:26" x14ac:dyDescent="0.35">
      <c r="A805" s="306"/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N805" s="306"/>
      <c r="O805" s="306"/>
      <c r="P805" s="306"/>
      <c r="Q805" s="306"/>
      <c r="R805" s="306"/>
      <c r="S805" s="306"/>
      <c r="T805" s="306"/>
      <c r="U805" s="306"/>
      <c r="V805" s="306"/>
      <c r="W805" s="306"/>
      <c r="X805" s="306"/>
      <c r="Y805" s="306"/>
      <c r="Z805" s="306"/>
    </row>
    <row r="806" spans="1:26" x14ac:dyDescent="0.35">
      <c r="A806" s="306"/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N806" s="306"/>
      <c r="O806" s="306"/>
      <c r="P806" s="306"/>
      <c r="Q806" s="306"/>
      <c r="R806" s="306"/>
      <c r="S806" s="306"/>
      <c r="T806" s="306"/>
      <c r="U806" s="306"/>
      <c r="V806" s="306"/>
      <c r="W806" s="306"/>
      <c r="X806" s="306"/>
      <c r="Y806" s="306"/>
      <c r="Z806" s="306"/>
    </row>
    <row r="807" spans="1:26" x14ac:dyDescent="0.35">
      <c r="A807" s="306"/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N807" s="306"/>
      <c r="O807" s="306"/>
      <c r="P807" s="306"/>
      <c r="Q807" s="306"/>
      <c r="R807" s="306"/>
      <c r="S807" s="306"/>
      <c r="T807" s="306"/>
      <c r="U807" s="306"/>
      <c r="V807" s="306"/>
      <c r="W807" s="306"/>
      <c r="X807" s="306"/>
      <c r="Y807" s="306"/>
      <c r="Z807" s="306"/>
    </row>
    <row r="808" spans="1:26" x14ac:dyDescent="0.35">
      <c r="A808" s="306"/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N808" s="306"/>
      <c r="O808" s="306"/>
      <c r="P808" s="306"/>
      <c r="Q808" s="306"/>
      <c r="R808" s="306"/>
      <c r="S808" s="306"/>
      <c r="T808" s="306"/>
      <c r="U808" s="306"/>
      <c r="V808" s="306"/>
      <c r="W808" s="306"/>
      <c r="X808" s="306"/>
      <c r="Y808" s="306"/>
      <c r="Z808" s="306"/>
    </row>
    <row r="809" spans="1:26" x14ac:dyDescent="0.35">
      <c r="A809" s="306"/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N809" s="306"/>
      <c r="O809" s="306"/>
      <c r="P809" s="306"/>
      <c r="Q809" s="306"/>
      <c r="R809" s="306"/>
      <c r="S809" s="306"/>
      <c r="T809" s="306"/>
      <c r="U809" s="306"/>
      <c r="V809" s="306"/>
      <c r="W809" s="306"/>
      <c r="X809" s="306"/>
      <c r="Y809" s="306"/>
      <c r="Z809" s="306"/>
    </row>
    <row r="810" spans="1:26" x14ac:dyDescent="0.35">
      <c r="A810" s="306"/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N810" s="306"/>
      <c r="O810" s="306"/>
      <c r="P810" s="306"/>
      <c r="Q810" s="306"/>
      <c r="R810" s="306"/>
      <c r="S810" s="306"/>
      <c r="T810" s="306"/>
      <c r="U810" s="306"/>
      <c r="V810" s="306"/>
      <c r="W810" s="306"/>
      <c r="X810" s="306"/>
      <c r="Y810" s="306"/>
      <c r="Z810" s="306"/>
    </row>
    <row r="811" spans="1:26" x14ac:dyDescent="0.35">
      <c r="A811" s="306"/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N811" s="306"/>
      <c r="O811" s="306"/>
      <c r="P811" s="306"/>
      <c r="Q811" s="306"/>
      <c r="R811" s="306"/>
      <c r="S811" s="306"/>
      <c r="T811" s="306"/>
      <c r="U811" s="306"/>
      <c r="V811" s="306"/>
      <c r="W811" s="306"/>
      <c r="X811" s="306"/>
      <c r="Y811" s="306"/>
      <c r="Z811" s="306"/>
    </row>
    <row r="812" spans="1:26" x14ac:dyDescent="0.35">
      <c r="A812" s="306"/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N812" s="306"/>
      <c r="O812" s="306"/>
      <c r="P812" s="306"/>
      <c r="Q812" s="306"/>
      <c r="R812" s="306"/>
      <c r="S812" s="306"/>
      <c r="T812" s="306"/>
      <c r="U812" s="306"/>
      <c r="V812" s="306"/>
      <c r="W812" s="306"/>
      <c r="X812" s="306"/>
      <c r="Y812" s="306"/>
      <c r="Z812" s="306"/>
    </row>
    <row r="813" spans="1:26" x14ac:dyDescent="0.35">
      <c r="A813" s="306"/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N813" s="306"/>
      <c r="O813" s="306"/>
      <c r="P813" s="306"/>
      <c r="Q813" s="306"/>
      <c r="R813" s="306"/>
      <c r="S813" s="306"/>
      <c r="T813" s="306"/>
      <c r="U813" s="306"/>
      <c r="V813" s="306"/>
      <c r="W813" s="306"/>
      <c r="X813" s="306"/>
      <c r="Y813" s="306"/>
      <c r="Z813" s="306"/>
    </row>
    <row r="814" spans="1:26" x14ac:dyDescent="0.35">
      <c r="A814" s="306"/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N814" s="306"/>
      <c r="O814" s="306"/>
      <c r="P814" s="306"/>
      <c r="Q814" s="306"/>
      <c r="R814" s="306"/>
      <c r="S814" s="306"/>
      <c r="T814" s="306"/>
      <c r="U814" s="306"/>
      <c r="V814" s="306"/>
      <c r="W814" s="306"/>
      <c r="X814" s="306"/>
      <c r="Y814" s="306"/>
      <c r="Z814" s="306"/>
    </row>
    <row r="815" spans="1:26" x14ac:dyDescent="0.35">
      <c r="A815" s="306"/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N815" s="306"/>
      <c r="O815" s="306"/>
      <c r="P815" s="306"/>
      <c r="Q815" s="306"/>
      <c r="R815" s="306"/>
      <c r="S815" s="306"/>
      <c r="T815" s="306"/>
      <c r="U815" s="306"/>
      <c r="V815" s="306"/>
      <c r="W815" s="306"/>
      <c r="X815" s="306"/>
      <c r="Y815" s="306"/>
      <c r="Z815" s="306"/>
    </row>
    <row r="816" spans="1:26" x14ac:dyDescent="0.35">
      <c r="A816" s="306"/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N816" s="306"/>
      <c r="O816" s="306"/>
      <c r="P816" s="306"/>
      <c r="Q816" s="306"/>
      <c r="R816" s="306"/>
      <c r="S816" s="306"/>
      <c r="T816" s="306"/>
      <c r="U816" s="306"/>
      <c r="V816" s="306"/>
      <c r="W816" s="306"/>
      <c r="X816" s="306"/>
      <c r="Y816" s="306"/>
      <c r="Z816" s="306"/>
    </row>
    <row r="817" spans="1:26" x14ac:dyDescent="0.35">
      <c r="A817" s="306"/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N817" s="306"/>
      <c r="O817" s="306"/>
      <c r="P817" s="306"/>
      <c r="Q817" s="306"/>
      <c r="R817" s="306"/>
      <c r="S817" s="306"/>
      <c r="T817" s="306"/>
      <c r="U817" s="306"/>
      <c r="V817" s="306"/>
      <c r="W817" s="306"/>
      <c r="X817" s="306"/>
      <c r="Y817" s="306"/>
      <c r="Z817" s="306"/>
    </row>
    <row r="818" spans="1:26" x14ac:dyDescent="0.35">
      <c r="A818" s="306"/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N818" s="306"/>
      <c r="O818" s="306"/>
      <c r="P818" s="306"/>
      <c r="Q818" s="306"/>
      <c r="R818" s="306"/>
      <c r="S818" s="306"/>
      <c r="T818" s="306"/>
      <c r="U818" s="306"/>
      <c r="V818" s="306"/>
      <c r="W818" s="306"/>
      <c r="X818" s="306"/>
      <c r="Y818" s="306"/>
      <c r="Z818" s="306"/>
    </row>
    <row r="819" spans="1:26" x14ac:dyDescent="0.35">
      <c r="A819" s="306"/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N819" s="306"/>
      <c r="O819" s="306"/>
      <c r="P819" s="306"/>
      <c r="Q819" s="306"/>
      <c r="R819" s="306"/>
      <c r="S819" s="306"/>
      <c r="T819" s="306"/>
      <c r="U819" s="306"/>
      <c r="V819" s="306"/>
      <c r="W819" s="306"/>
      <c r="X819" s="306"/>
      <c r="Y819" s="306"/>
      <c r="Z819" s="306"/>
    </row>
    <row r="820" spans="1:26" x14ac:dyDescent="0.35">
      <c r="A820" s="306"/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N820" s="306"/>
      <c r="O820" s="306"/>
      <c r="P820" s="306"/>
      <c r="Q820" s="306"/>
      <c r="R820" s="306"/>
      <c r="S820" s="306"/>
      <c r="T820" s="306"/>
      <c r="U820" s="306"/>
      <c r="V820" s="306"/>
      <c r="W820" s="306"/>
      <c r="X820" s="306"/>
      <c r="Y820" s="306"/>
      <c r="Z820" s="306"/>
    </row>
    <row r="821" spans="1:26" x14ac:dyDescent="0.35">
      <c r="A821" s="306"/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N821" s="306"/>
      <c r="O821" s="306"/>
      <c r="P821" s="306"/>
      <c r="Q821" s="306"/>
      <c r="R821" s="306"/>
      <c r="S821" s="306"/>
      <c r="T821" s="306"/>
      <c r="U821" s="306"/>
      <c r="V821" s="306"/>
      <c r="W821" s="306"/>
      <c r="X821" s="306"/>
      <c r="Y821" s="306"/>
      <c r="Z821" s="306"/>
    </row>
    <row r="822" spans="1:26" x14ac:dyDescent="0.35">
      <c r="A822" s="306"/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N822" s="306"/>
      <c r="O822" s="306"/>
      <c r="P822" s="306"/>
      <c r="Q822" s="306"/>
      <c r="R822" s="306"/>
      <c r="S822" s="306"/>
      <c r="T822" s="306"/>
      <c r="U822" s="306"/>
      <c r="V822" s="306"/>
      <c r="W822" s="306"/>
      <c r="X822" s="306"/>
      <c r="Y822" s="306"/>
      <c r="Z822" s="306"/>
    </row>
    <row r="823" spans="1:26" x14ac:dyDescent="0.35">
      <c r="A823" s="306"/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N823" s="306"/>
      <c r="O823" s="306"/>
      <c r="P823" s="306"/>
      <c r="Q823" s="306"/>
      <c r="R823" s="306"/>
      <c r="S823" s="306"/>
      <c r="T823" s="306"/>
      <c r="U823" s="306"/>
      <c r="V823" s="306"/>
      <c r="W823" s="306"/>
      <c r="X823" s="306"/>
      <c r="Y823" s="306"/>
      <c r="Z823" s="306"/>
    </row>
    <row r="824" spans="1:26" x14ac:dyDescent="0.35">
      <c r="A824" s="306"/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N824" s="306"/>
      <c r="O824" s="306"/>
      <c r="P824" s="306"/>
      <c r="Q824" s="306"/>
      <c r="R824" s="306"/>
      <c r="S824" s="306"/>
      <c r="T824" s="306"/>
      <c r="U824" s="306"/>
      <c r="V824" s="306"/>
      <c r="W824" s="306"/>
      <c r="X824" s="306"/>
      <c r="Y824" s="306"/>
      <c r="Z824" s="306"/>
    </row>
    <row r="825" spans="1:26" x14ac:dyDescent="0.35">
      <c r="A825" s="306"/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N825" s="306"/>
      <c r="O825" s="306"/>
      <c r="P825" s="306"/>
      <c r="Q825" s="306"/>
      <c r="R825" s="306"/>
      <c r="S825" s="306"/>
      <c r="T825" s="306"/>
      <c r="U825" s="306"/>
      <c r="V825" s="306"/>
      <c r="W825" s="306"/>
      <c r="X825" s="306"/>
      <c r="Y825" s="306"/>
      <c r="Z825" s="306"/>
    </row>
    <row r="826" spans="1:26" x14ac:dyDescent="0.35">
      <c r="A826" s="306"/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N826" s="306"/>
      <c r="O826" s="306"/>
      <c r="P826" s="306"/>
      <c r="Q826" s="306"/>
      <c r="R826" s="306"/>
      <c r="S826" s="306"/>
      <c r="T826" s="306"/>
      <c r="U826" s="306"/>
      <c r="V826" s="306"/>
      <c r="W826" s="306"/>
      <c r="X826" s="306"/>
      <c r="Y826" s="306"/>
      <c r="Z826" s="306"/>
    </row>
    <row r="827" spans="1:26" x14ac:dyDescent="0.35">
      <c r="A827" s="306"/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N827" s="306"/>
      <c r="O827" s="306"/>
      <c r="P827" s="306"/>
      <c r="Q827" s="306"/>
      <c r="R827" s="306"/>
      <c r="S827" s="306"/>
      <c r="T827" s="306"/>
      <c r="U827" s="306"/>
      <c r="V827" s="306"/>
      <c r="W827" s="306"/>
      <c r="X827" s="306"/>
      <c r="Y827" s="306"/>
      <c r="Z827" s="306"/>
    </row>
    <row r="828" spans="1:26" x14ac:dyDescent="0.35">
      <c r="A828" s="306"/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N828" s="306"/>
      <c r="O828" s="306"/>
      <c r="P828" s="306"/>
      <c r="Q828" s="306"/>
      <c r="R828" s="306"/>
      <c r="S828" s="306"/>
      <c r="T828" s="306"/>
      <c r="U828" s="306"/>
      <c r="V828" s="306"/>
      <c r="W828" s="306"/>
      <c r="X828" s="306"/>
      <c r="Y828" s="306"/>
      <c r="Z828" s="306"/>
    </row>
    <row r="829" spans="1:26" x14ac:dyDescent="0.35">
      <c r="A829" s="306"/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N829" s="306"/>
      <c r="O829" s="306"/>
      <c r="P829" s="306"/>
      <c r="Q829" s="306"/>
      <c r="R829" s="306"/>
      <c r="S829" s="306"/>
      <c r="T829" s="306"/>
      <c r="U829" s="306"/>
      <c r="V829" s="306"/>
      <c r="W829" s="306"/>
      <c r="X829" s="306"/>
      <c r="Y829" s="306"/>
      <c r="Z829" s="306"/>
    </row>
    <row r="830" spans="1:26" x14ac:dyDescent="0.35">
      <c r="A830" s="306"/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N830" s="306"/>
      <c r="O830" s="306"/>
      <c r="P830" s="306"/>
      <c r="Q830" s="306"/>
      <c r="R830" s="306"/>
      <c r="S830" s="306"/>
      <c r="T830" s="306"/>
      <c r="U830" s="306"/>
      <c r="V830" s="306"/>
      <c r="W830" s="306"/>
      <c r="X830" s="306"/>
      <c r="Y830" s="306"/>
      <c r="Z830" s="306"/>
    </row>
    <row r="831" spans="1:26" x14ac:dyDescent="0.35">
      <c r="A831" s="306"/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N831" s="306"/>
      <c r="O831" s="306"/>
      <c r="P831" s="306"/>
      <c r="Q831" s="306"/>
      <c r="R831" s="306"/>
      <c r="S831" s="306"/>
      <c r="T831" s="306"/>
      <c r="U831" s="306"/>
      <c r="V831" s="306"/>
      <c r="W831" s="306"/>
      <c r="X831" s="306"/>
      <c r="Y831" s="306"/>
      <c r="Z831" s="306"/>
    </row>
    <row r="832" spans="1:26" x14ac:dyDescent="0.35">
      <c r="A832" s="306"/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N832" s="306"/>
      <c r="O832" s="306"/>
      <c r="P832" s="306"/>
      <c r="Q832" s="306"/>
      <c r="R832" s="306"/>
      <c r="S832" s="306"/>
      <c r="T832" s="306"/>
      <c r="U832" s="306"/>
      <c r="V832" s="306"/>
      <c r="W832" s="306"/>
      <c r="X832" s="306"/>
      <c r="Y832" s="306"/>
      <c r="Z832" s="306"/>
    </row>
    <row r="833" spans="1:26" x14ac:dyDescent="0.35">
      <c r="A833" s="306"/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N833" s="306"/>
      <c r="O833" s="306"/>
      <c r="P833" s="306"/>
      <c r="Q833" s="306"/>
      <c r="R833" s="306"/>
      <c r="S833" s="306"/>
      <c r="T833" s="306"/>
      <c r="U833" s="306"/>
      <c r="V833" s="306"/>
      <c r="W833" s="306"/>
      <c r="X833" s="306"/>
      <c r="Y833" s="306"/>
      <c r="Z833" s="306"/>
    </row>
    <row r="834" spans="1:26" x14ac:dyDescent="0.35">
      <c r="A834" s="306"/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N834" s="306"/>
      <c r="O834" s="306"/>
      <c r="P834" s="306"/>
      <c r="Q834" s="306"/>
      <c r="R834" s="306"/>
      <c r="S834" s="306"/>
      <c r="T834" s="306"/>
      <c r="U834" s="306"/>
      <c r="V834" s="306"/>
      <c r="W834" s="306"/>
      <c r="X834" s="306"/>
      <c r="Y834" s="306"/>
      <c r="Z834" s="306"/>
    </row>
    <row r="835" spans="1:26" x14ac:dyDescent="0.35">
      <c r="A835" s="306"/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N835" s="306"/>
      <c r="O835" s="306"/>
      <c r="P835" s="306"/>
      <c r="Q835" s="306"/>
      <c r="R835" s="306"/>
      <c r="S835" s="306"/>
      <c r="T835" s="306"/>
      <c r="U835" s="306"/>
      <c r="V835" s="306"/>
      <c r="W835" s="306"/>
      <c r="X835" s="306"/>
      <c r="Y835" s="306"/>
      <c r="Z835" s="306"/>
    </row>
    <row r="836" spans="1:26" x14ac:dyDescent="0.35">
      <c r="A836" s="306"/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N836" s="306"/>
      <c r="O836" s="306"/>
      <c r="P836" s="306"/>
      <c r="Q836" s="306"/>
      <c r="R836" s="306"/>
      <c r="S836" s="306"/>
      <c r="T836" s="306"/>
      <c r="U836" s="306"/>
      <c r="V836" s="306"/>
      <c r="W836" s="306"/>
      <c r="X836" s="306"/>
      <c r="Y836" s="306"/>
      <c r="Z836" s="306"/>
    </row>
    <row r="837" spans="1:26" x14ac:dyDescent="0.35">
      <c r="A837" s="306"/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N837" s="306"/>
      <c r="O837" s="306"/>
      <c r="P837" s="306"/>
      <c r="Q837" s="306"/>
      <c r="R837" s="306"/>
      <c r="S837" s="306"/>
      <c r="T837" s="306"/>
      <c r="U837" s="306"/>
      <c r="V837" s="306"/>
      <c r="W837" s="306"/>
      <c r="X837" s="306"/>
      <c r="Y837" s="306"/>
      <c r="Z837" s="306"/>
    </row>
    <row r="838" spans="1:26" x14ac:dyDescent="0.35">
      <c r="A838" s="306"/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N838" s="306"/>
      <c r="O838" s="306"/>
      <c r="P838" s="306"/>
      <c r="Q838" s="306"/>
      <c r="R838" s="306"/>
      <c r="S838" s="306"/>
      <c r="T838" s="306"/>
      <c r="U838" s="306"/>
      <c r="V838" s="306"/>
      <c r="W838" s="306"/>
      <c r="X838" s="306"/>
      <c r="Y838" s="306"/>
      <c r="Z838" s="306"/>
    </row>
    <row r="839" spans="1:26" x14ac:dyDescent="0.35">
      <c r="A839" s="306"/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N839" s="306"/>
      <c r="O839" s="306"/>
      <c r="P839" s="306"/>
      <c r="Q839" s="306"/>
      <c r="R839" s="306"/>
      <c r="S839" s="306"/>
      <c r="T839" s="306"/>
      <c r="U839" s="306"/>
      <c r="V839" s="306"/>
      <c r="W839" s="306"/>
      <c r="X839" s="306"/>
      <c r="Y839" s="306"/>
      <c r="Z839" s="306"/>
    </row>
    <row r="840" spans="1:26" x14ac:dyDescent="0.35">
      <c r="A840" s="306"/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N840" s="306"/>
      <c r="O840" s="306"/>
      <c r="P840" s="306"/>
      <c r="Q840" s="306"/>
      <c r="R840" s="306"/>
      <c r="S840" s="306"/>
      <c r="T840" s="306"/>
      <c r="U840" s="306"/>
      <c r="V840" s="306"/>
      <c r="W840" s="306"/>
      <c r="X840" s="306"/>
      <c r="Y840" s="306"/>
      <c r="Z840" s="306"/>
    </row>
    <row r="841" spans="1:26" x14ac:dyDescent="0.35">
      <c r="A841" s="306"/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N841" s="306"/>
      <c r="O841" s="306"/>
      <c r="P841" s="306"/>
      <c r="Q841" s="306"/>
      <c r="R841" s="306"/>
      <c r="S841" s="306"/>
      <c r="T841" s="306"/>
      <c r="U841" s="306"/>
      <c r="V841" s="306"/>
      <c r="W841" s="306"/>
      <c r="X841" s="306"/>
      <c r="Y841" s="306"/>
      <c r="Z841" s="306"/>
    </row>
    <row r="842" spans="1:26" x14ac:dyDescent="0.35">
      <c r="A842" s="306"/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N842" s="306"/>
      <c r="O842" s="306"/>
      <c r="P842" s="306"/>
      <c r="Q842" s="306"/>
      <c r="R842" s="306"/>
      <c r="S842" s="306"/>
      <c r="T842" s="306"/>
      <c r="U842" s="306"/>
      <c r="V842" s="306"/>
      <c r="W842" s="306"/>
      <c r="X842" s="306"/>
      <c r="Y842" s="306"/>
      <c r="Z842" s="306"/>
    </row>
    <row r="843" spans="1:26" x14ac:dyDescent="0.35">
      <c r="A843" s="306"/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N843" s="306"/>
      <c r="O843" s="306"/>
      <c r="P843" s="306"/>
      <c r="Q843" s="306"/>
      <c r="R843" s="306"/>
      <c r="S843" s="306"/>
      <c r="T843" s="306"/>
      <c r="U843" s="306"/>
      <c r="V843" s="306"/>
      <c r="W843" s="306"/>
      <c r="X843" s="306"/>
      <c r="Y843" s="306"/>
      <c r="Z843" s="306"/>
    </row>
    <row r="844" spans="1:26" x14ac:dyDescent="0.35">
      <c r="A844" s="306"/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N844" s="306"/>
      <c r="O844" s="306"/>
      <c r="P844" s="306"/>
      <c r="Q844" s="306"/>
      <c r="R844" s="306"/>
      <c r="S844" s="306"/>
      <c r="T844" s="306"/>
      <c r="U844" s="306"/>
      <c r="V844" s="306"/>
      <c r="W844" s="306"/>
      <c r="X844" s="306"/>
      <c r="Y844" s="306"/>
      <c r="Z844" s="306"/>
    </row>
    <row r="845" spans="1:26" x14ac:dyDescent="0.35">
      <c r="A845" s="306"/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N845" s="306"/>
      <c r="O845" s="306"/>
      <c r="P845" s="306"/>
      <c r="Q845" s="306"/>
      <c r="R845" s="306"/>
      <c r="S845" s="306"/>
      <c r="T845" s="306"/>
      <c r="U845" s="306"/>
      <c r="V845" s="306"/>
      <c r="W845" s="306"/>
      <c r="X845" s="306"/>
      <c r="Y845" s="306"/>
      <c r="Z845" s="306"/>
    </row>
    <row r="846" spans="1:26" x14ac:dyDescent="0.35">
      <c r="A846" s="306"/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N846" s="306"/>
      <c r="O846" s="306"/>
      <c r="P846" s="306"/>
      <c r="Q846" s="306"/>
      <c r="R846" s="306"/>
      <c r="S846" s="306"/>
      <c r="T846" s="306"/>
      <c r="U846" s="306"/>
      <c r="V846" s="306"/>
      <c r="W846" s="306"/>
      <c r="X846" s="306"/>
      <c r="Y846" s="306"/>
      <c r="Z846" s="306"/>
    </row>
    <row r="847" spans="1:26" x14ac:dyDescent="0.35">
      <c r="A847" s="306"/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N847" s="306"/>
      <c r="O847" s="306"/>
      <c r="P847" s="306"/>
      <c r="Q847" s="306"/>
      <c r="R847" s="306"/>
      <c r="S847" s="306"/>
      <c r="T847" s="306"/>
      <c r="U847" s="306"/>
      <c r="V847" s="306"/>
      <c r="W847" s="306"/>
      <c r="X847" s="306"/>
      <c r="Y847" s="306"/>
      <c r="Z847" s="306"/>
    </row>
    <row r="848" spans="1:26" x14ac:dyDescent="0.35">
      <c r="A848" s="306"/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N848" s="306"/>
      <c r="O848" s="306"/>
      <c r="P848" s="306"/>
      <c r="Q848" s="306"/>
      <c r="R848" s="306"/>
      <c r="S848" s="306"/>
      <c r="T848" s="306"/>
      <c r="U848" s="306"/>
      <c r="V848" s="306"/>
      <c r="W848" s="306"/>
      <c r="X848" s="306"/>
      <c r="Y848" s="306"/>
      <c r="Z848" s="306"/>
    </row>
    <row r="849" spans="1:26" x14ac:dyDescent="0.35">
      <c r="A849" s="306"/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N849" s="306"/>
      <c r="O849" s="306"/>
      <c r="P849" s="306"/>
      <c r="Q849" s="306"/>
      <c r="R849" s="306"/>
      <c r="S849" s="306"/>
      <c r="T849" s="306"/>
      <c r="U849" s="306"/>
      <c r="V849" s="306"/>
      <c r="W849" s="306"/>
      <c r="X849" s="306"/>
      <c r="Y849" s="306"/>
      <c r="Z849" s="306"/>
    </row>
    <row r="850" spans="1:26" x14ac:dyDescent="0.35">
      <c r="A850" s="306"/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N850" s="306"/>
      <c r="O850" s="306"/>
      <c r="P850" s="306"/>
      <c r="Q850" s="306"/>
      <c r="R850" s="306"/>
      <c r="S850" s="306"/>
      <c r="T850" s="306"/>
      <c r="U850" s="306"/>
      <c r="V850" s="306"/>
      <c r="W850" s="306"/>
      <c r="X850" s="306"/>
      <c r="Y850" s="306"/>
      <c r="Z850" s="306"/>
    </row>
    <row r="851" spans="1:26" x14ac:dyDescent="0.35">
      <c r="A851" s="306"/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N851" s="306"/>
      <c r="O851" s="306"/>
      <c r="P851" s="306"/>
      <c r="Q851" s="306"/>
      <c r="R851" s="306"/>
      <c r="S851" s="306"/>
      <c r="T851" s="306"/>
      <c r="U851" s="306"/>
      <c r="V851" s="306"/>
      <c r="W851" s="306"/>
      <c r="X851" s="306"/>
      <c r="Y851" s="306"/>
      <c r="Z851" s="306"/>
    </row>
    <row r="852" spans="1:26" x14ac:dyDescent="0.35">
      <c r="A852" s="306"/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N852" s="306"/>
      <c r="O852" s="306"/>
      <c r="P852" s="306"/>
      <c r="Q852" s="306"/>
      <c r="R852" s="306"/>
      <c r="S852" s="306"/>
      <c r="T852" s="306"/>
      <c r="U852" s="306"/>
      <c r="V852" s="306"/>
      <c r="W852" s="306"/>
      <c r="X852" s="306"/>
      <c r="Y852" s="306"/>
      <c r="Z852" s="306"/>
    </row>
    <row r="853" spans="1:26" x14ac:dyDescent="0.35">
      <c r="A853" s="306"/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N853" s="306"/>
      <c r="O853" s="306"/>
      <c r="P853" s="306"/>
      <c r="Q853" s="306"/>
      <c r="R853" s="306"/>
      <c r="S853" s="306"/>
      <c r="T853" s="306"/>
      <c r="U853" s="306"/>
      <c r="V853" s="306"/>
      <c r="W853" s="306"/>
      <c r="X853" s="306"/>
      <c r="Y853" s="306"/>
      <c r="Z853" s="306"/>
    </row>
    <row r="854" spans="1:26" x14ac:dyDescent="0.35">
      <c r="A854" s="306"/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N854" s="306"/>
      <c r="O854" s="306"/>
      <c r="P854" s="306"/>
      <c r="Q854" s="306"/>
      <c r="R854" s="306"/>
      <c r="S854" s="306"/>
      <c r="T854" s="306"/>
      <c r="U854" s="306"/>
      <c r="V854" s="306"/>
      <c r="W854" s="306"/>
      <c r="X854" s="306"/>
      <c r="Y854" s="306"/>
      <c r="Z854" s="306"/>
    </row>
    <row r="855" spans="1:26" x14ac:dyDescent="0.35">
      <c r="A855" s="306"/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N855" s="306"/>
      <c r="O855" s="306"/>
      <c r="P855" s="306"/>
      <c r="Q855" s="306"/>
      <c r="R855" s="306"/>
      <c r="S855" s="306"/>
      <c r="T855" s="306"/>
      <c r="U855" s="306"/>
      <c r="V855" s="306"/>
      <c r="W855" s="306"/>
      <c r="X855" s="306"/>
      <c r="Y855" s="306"/>
      <c r="Z855" s="306"/>
    </row>
    <row r="856" spans="1:26" x14ac:dyDescent="0.35">
      <c r="A856" s="306"/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N856" s="306"/>
      <c r="O856" s="306"/>
      <c r="P856" s="306"/>
      <c r="Q856" s="306"/>
      <c r="R856" s="306"/>
      <c r="S856" s="306"/>
      <c r="T856" s="306"/>
      <c r="U856" s="306"/>
      <c r="V856" s="306"/>
      <c r="W856" s="306"/>
      <c r="X856" s="306"/>
      <c r="Y856" s="306"/>
      <c r="Z856" s="306"/>
    </row>
    <row r="857" spans="1:26" x14ac:dyDescent="0.35">
      <c r="A857" s="306"/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N857" s="306"/>
      <c r="O857" s="306"/>
      <c r="P857" s="306"/>
      <c r="Q857" s="306"/>
      <c r="R857" s="306"/>
      <c r="S857" s="306"/>
      <c r="T857" s="306"/>
      <c r="U857" s="306"/>
      <c r="V857" s="306"/>
      <c r="W857" s="306"/>
      <c r="X857" s="306"/>
      <c r="Y857" s="306"/>
      <c r="Z857" s="306"/>
    </row>
    <row r="858" spans="1:26" x14ac:dyDescent="0.35">
      <c r="A858" s="306"/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N858" s="306"/>
      <c r="O858" s="306"/>
      <c r="P858" s="306"/>
      <c r="Q858" s="306"/>
      <c r="R858" s="306"/>
      <c r="S858" s="306"/>
      <c r="T858" s="306"/>
      <c r="U858" s="306"/>
      <c r="V858" s="306"/>
      <c r="W858" s="306"/>
      <c r="X858" s="306"/>
      <c r="Y858" s="306"/>
      <c r="Z858" s="306"/>
    </row>
    <row r="859" spans="1:26" x14ac:dyDescent="0.35">
      <c r="A859" s="306"/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N859" s="306"/>
      <c r="O859" s="306"/>
      <c r="P859" s="306"/>
      <c r="Q859" s="306"/>
      <c r="R859" s="306"/>
      <c r="S859" s="306"/>
      <c r="T859" s="306"/>
      <c r="U859" s="306"/>
      <c r="V859" s="306"/>
      <c r="W859" s="306"/>
      <c r="X859" s="306"/>
      <c r="Y859" s="306"/>
      <c r="Z859" s="306"/>
    </row>
    <row r="860" spans="1:26" x14ac:dyDescent="0.35">
      <c r="A860" s="306"/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N860" s="306"/>
      <c r="O860" s="306"/>
      <c r="P860" s="306"/>
      <c r="Q860" s="306"/>
      <c r="R860" s="306"/>
      <c r="S860" s="306"/>
      <c r="T860" s="306"/>
      <c r="U860" s="306"/>
      <c r="V860" s="306"/>
      <c r="W860" s="306"/>
      <c r="X860" s="306"/>
      <c r="Y860" s="306"/>
      <c r="Z860" s="306"/>
    </row>
    <row r="861" spans="1:26" x14ac:dyDescent="0.35">
      <c r="A861" s="306"/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N861" s="306"/>
      <c r="O861" s="306"/>
      <c r="P861" s="306"/>
      <c r="Q861" s="306"/>
      <c r="R861" s="306"/>
      <c r="S861" s="306"/>
      <c r="T861" s="306"/>
      <c r="U861" s="306"/>
      <c r="V861" s="306"/>
      <c r="W861" s="306"/>
      <c r="X861" s="306"/>
      <c r="Y861" s="306"/>
      <c r="Z861" s="306"/>
    </row>
    <row r="862" spans="1:26" x14ac:dyDescent="0.35">
      <c r="A862" s="306"/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N862" s="306"/>
      <c r="O862" s="306"/>
      <c r="P862" s="306"/>
      <c r="Q862" s="306"/>
      <c r="R862" s="306"/>
      <c r="S862" s="306"/>
      <c r="T862" s="306"/>
      <c r="U862" s="306"/>
      <c r="V862" s="306"/>
      <c r="W862" s="306"/>
      <c r="X862" s="306"/>
      <c r="Y862" s="306"/>
      <c r="Z862" s="306"/>
    </row>
    <row r="863" spans="1:26" x14ac:dyDescent="0.35">
      <c r="A863" s="306"/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N863" s="306"/>
      <c r="O863" s="306"/>
      <c r="P863" s="306"/>
      <c r="Q863" s="306"/>
      <c r="R863" s="306"/>
      <c r="S863" s="306"/>
      <c r="T863" s="306"/>
      <c r="U863" s="306"/>
      <c r="V863" s="306"/>
      <c r="W863" s="306"/>
      <c r="X863" s="306"/>
      <c r="Y863" s="306"/>
      <c r="Z863" s="306"/>
    </row>
    <row r="864" spans="1:26" x14ac:dyDescent="0.35">
      <c r="A864" s="306"/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N864" s="306"/>
      <c r="O864" s="306"/>
      <c r="P864" s="306"/>
      <c r="Q864" s="306"/>
      <c r="R864" s="306"/>
      <c r="S864" s="306"/>
      <c r="T864" s="306"/>
      <c r="U864" s="306"/>
      <c r="V864" s="306"/>
      <c r="W864" s="306"/>
      <c r="X864" s="306"/>
      <c r="Y864" s="306"/>
      <c r="Z864" s="306"/>
    </row>
    <row r="865" spans="1:26" x14ac:dyDescent="0.35">
      <c r="A865" s="306"/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N865" s="306"/>
      <c r="O865" s="306"/>
      <c r="P865" s="306"/>
      <c r="Q865" s="306"/>
      <c r="R865" s="306"/>
      <c r="S865" s="306"/>
      <c r="T865" s="306"/>
      <c r="U865" s="306"/>
      <c r="V865" s="306"/>
      <c r="W865" s="306"/>
      <c r="X865" s="306"/>
      <c r="Y865" s="306"/>
      <c r="Z865" s="306"/>
    </row>
    <row r="866" spans="1:26" x14ac:dyDescent="0.35">
      <c r="A866" s="306"/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N866" s="306"/>
      <c r="O866" s="306"/>
      <c r="P866" s="306"/>
      <c r="Q866" s="306"/>
      <c r="R866" s="306"/>
      <c r="S866" s="306"/>
      <c r="T866" s="306"/>
      <c r="U866" s="306"/>
      <c r="V866" s="306"/>
      <c r="W866" s="306"/>
      <c r="X866" s="306"/>
      <c r="Y866" s="306"/>
      <c r="Z866" s="306"/>
    </row>
    <row r="867" spans="1:26" x14ac:dyDescent="0.35">
      <c r="A867" s="306"/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N867" s="306"/>
      <c r="O867" s="306"/>
      <c r="P867" s="306"/>
      <c r="Q867" s="306"/>
      <c r="R867" s="306"/>
      <c r="S867" s="306"/>
      <c r="T867" s="306"/>
      <c r="U867" s="306"/>
      <c r="V867" s="306"/>
      <c r="W867" s="306"/>
      <c r="X867" s="306"/>
      <c r="Y867" s="306"/>
      <c r="Z867" s="306"/>
    </row>
    <row r="868" spans="1:26" x14ac:dyDescent="0.35">
      <c r="A868" s="306"/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N868" s="306"/>
      <c r="O868" s="306"/>
      <c r="P868" s="306"/>
      <c r="Q868" s="306"/>
      <c r="R868" s="306"/>
      <c r="S868" s="306"/>
      <c r="T868" s="306"/>
      <c r="U868" s="306"/>
      <c r="V868" s="306"/>
      <c r="W868" s="306"/>
      <c r="X868" s="306"/>
      <c r="Y868" s="306"/>
      <c r="Z868" s="306"/>
    </row>
    <row r="869" spans="1:26" x14ac:dyDescent="0.35">
      <c r="A869" s="306"/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N869" s="306"/>
      <c r="O869" s="306"/>
      <c r="P869" s="306"/>
      <c r="Q869" s="306"/>
      <c r="R869" s="306"/>
      <c r="S869" s="306"/>
      <c r="T869" s="306"/>
      <c r="U869" s="306"/>
      <c r="V869" s="306"/>
      <c r="W869" s="306"/>
      <c r="X869" s="306"/>
      <c r="Y869" s="306"/>
      <c r="Z869" s="306"/>
    </row>
    <row r="870" spans="1:26" x14ac:dyDescent="0.35">
      <c r="A870" s="306"/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N870" s="306"/>
      <c r="O870" s="306"/>
      <c r="P870" s="306"/>
      <c r="Q870" s="306"/>
      <c r="R870" s="306"/>
      <c r="S870" s="306"/>
      <c r="T870" s="306"/>
      <c r="U870" s="306"/>
      <c r="V870" s="306"/>
      <c r="W870" s="306"/>
      <c r="X870" s="306"/>
      <c r="Y870" s="306"/>
      <c r="Z870" s="306"/>
    </row>
    <row r="871" spans="1:26" x14ac:dyDescent="0.35">
      <c r="A871" s="306"/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N871" s="306"/>
      <c r="O871" s="306"/>
      <c r="P871" s="306"/>
      <c r="Q871" s="306"/>
      <c r="R871" s="306"/>
      <c r="S871" s="306"/>
      <c r="T871" s="306"/>
      <c r="U871" s="306"/>
      <c r="V871" s="306"/>
      <c r="W871" s="306"/>
      <c r="X871" s="306"/>
      <c r="Y871" s="306"/>
      <c r="Z871" s="306"/>
    </row>
    <row r="872" spans="1:26" x14ac:dyDescent="0.35">
      <c r="A872" s="306"/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N872" s="306"/>
      <c r="O872" s="306"/>
      <c r="P872" s="306"/>
      <c r="Q872" s="306"/>
      <c r="R872" s="306"/>
      <c r="S872" s="306"/>
      <c r="T872" s="306"/>
      <c r="U872" s="306"/>
      <c r="V872" s="306"/>
      <c r="W872" s="306"/>
      <c r="X872" s="306"/>
      <c r="Y872" s="306"/>
      <c r="Z872" s="306"/>
    </row>
    <row r="873" spans="1:26" x14ac:dyDescent="0.35">
      <c r="A873" s="306"/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N873" s="306"/>
      <c r="O873" s="306"/>
      <c r="P873" s="306"/>
      <c r="Q873" s="306"/>
      <c r="R873" s="306"/>
      <c r="S873" s="306"/>
      <c r="T873" s="306"/>
      <c r="U873" s="306"/>
      <c r="V873" s="306"/>
      <c r="W873" s="306"/>
      <c r="X873" s="306"/>
      <c r="Y873" s="306"/>
      <c r="Z873" s="306"/>
    </row>
    <row r="874" spans="1:26" x14ac:dyDescent="0.35">
      <c r="A874" s="306"/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N874" s="306"/>
      <c r="O874" s="306"/>
      <c r="P874" s="306"/>
      <c r="Q874" s="306"/>
      <c r="R874" s="306"/>
      <c r="S874" s="306"/>
      <c r="T874" s="306"/>
      <c r="U874" s="306"/>
      <c r="V874" s="306"/>
      <c r="W874" s="306"/>
      <c r="X874" s="306"/>
      <c r="Y874" s="306"/>
      <c r="Z874" s="306"/>
    </row>
    <row r="875" spans="1:26" x14ac:dyDescent="0.35">
      <c r="A875" s="306"/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N875" s="306"/>
      <c r="O875" s="306"/>
      <c r="P875" s="306"/>
      <c r="Q875" s="306"/>
      <c r="R875" s="306"/>
      <c r="S875" s="306"/>
      <c r="T875" s="306"/>
      <c r="U875" s="306"/>
      <c r="V875" s="306"/>
      <c r="W875" s="306"/>
      <c r="X875" s="306"/>
      <c r="Y875" s="306"/>
      <c r="Z875" s="306"/>
    </row>
    <row r="876" spans="1:26" x14ac:dyDescent="0.35">
      <c r="A876" s="306"/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N876" s="306"/>
      <c r="O876" s="306"/>
      <c r="P876" s="306"/>
      <c r="Q876" s="306"/>
      <c r="R876" s="306"/>
      <c r="S876" s="306"/>
      <c r="T876" s="306"/>
      <c r="U876" s="306"/>
      <c r="V876" s="306"/>
      <c r="W876" s="306"/>
      <c r="X876" s="306"/>
      <c r="Y876" s="306"/>
      <c r="Z876" s="306"/>
    </row>
    <row r="877" spans="1:26" x14ac:dyDescent="0.35">
      <c r="A877" s="306"/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N877" s="306"/>
      <c r="O877" s="306"/>
      <c r="P877" s="306"/>
      <c r="Q877" s="306"/>
      <c r="R877" s="306"/>
      <c r="S877" s="306"/>
      <c r="T877" s="306"/>
      <c r="U877" s="306"/>
      <c r="V877" s="306"/>
      <c r="W877" s="306"/>
      <c r="X877" s="306"/>
      <c r="Y877" s="306"/>
      <c r="Z877" s="306"/>
    </row>
    <row r="878" spans="1:26" x14ac:dyDescent="0.35">
      <c r="A878" s="306"/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N878" s="306"/>
      <c r="O878" s="306"/>
      <c r="P878" s="306"/>
      <c r="Q878" s="306"/>
      <c r="R878" s="306"/>
      <c r="S878" s="306"/>
      <c r="T878" s="306"/>
      <c r="U878" s="306"/>
      <c r="V878" s="306"/>
      <c r="W878" s="306"/>
      <c r="X878" s="306"/>
      <c r="Y878" s="306"/>
      <c r="Z878" s="306"/>
    </row>
    <row r="879" spans="1:26" x14ac:dyDescent="0.35">
      <c r="A879" s="306"/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N879" s="306"/>
      <c r="O879" s="306"/>
      <c r="P879" s="306"/>
      <c r="Q879" s="306"/>
      <c r="R879" s="306"/>
      <c r="S879" s="306"/>
      <c r="T879" s="306"/>
      <c r="U879" s="306"/>
      <c r="V879" s="306"/>
      <c r="W879" s="306"/>
      <c r="X879" s="306"/>
      <c r="Y879" s="306"/>
      <c r="Z879" s="306"/>
    </row>
    <row r="880" spans="1:26" x14ac:dyDescent="0.35">
      <c r="A880" s="306"/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N880" s="306"/>
      <c r="O880" s="306"/>
      <c r="P880" s="306"/>
      <c r="Q880" s="306"/>
      <c r="R880" s="306"/>
      <c r="S880" s="306"/>
      <c r="T880" s="306"/>
      <c r="U880" s="306"/>
      <c r="V880" s="306"/>
      <c r="W880" s="306"/>
      <c r="X880" s="306"/>
      <c r="Y880" s="306"/>
      <c r="Z880" s="306"/>
    </row>
    <row r="881" spans="1:26" x14ac:dyDescent="0.35">
      <c r="A881" s="306"/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N881" s="306"/>
      <c r="O881" s="306"/>
      <c r="P881" s="306"/>
      <c r="Q881" s="306"/>
      <c r="R881" s="306"/>
      <c r="S881" s="306"/>
      <c r="T881" s="306"/>
      <c r="U881" s="306"/>
      <c r="V881" s="306"/>
      <c r="W881" s="306"/>
      <c r="X881" s="306"/>
      <c r="Y881" s="306"/>
      <c r="Z881" s="306"/>
    </row>
    <row r="882" spans="1:26" x14ac:dyDescent="0.35">
      <c r="A882" s="306"/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N882" s="306"/>
      <c r="O882" s="306"/>
      <c r="P882" s="306"/>
      <c r="Q882" s="306"/>
      <c r="R882" s="306"/>
      <c r="S882" s="306"/>
      <c r="T882" s="306"/>
      <c r="U882" s="306"/>
      <c r="V882" s="306"/>
      <c r="W882" s="306"/>
      <c r="X882" s="306"/>
      <c r="Y882" s="306"/>
      <c r="Z882" s="306"/>
    </row>
    <row r="883" spans="1:26" x14ac:dyDescent="0.35">
      <c r="A883" s="306"/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N883" s="306"/>
      <c r="O883" s="306"/>
      <c r="P883" s="306"/>
      <c r="Q883" s="306"/>
      <c r="R883" s="306"/>
      <c r="S883" s="306"/>
      <c r="T883" s="306"/>
      <c r="U883" s="306"/>
      <c r="V883" s="306"/>
      <c r="W883" s="306"/>
      <c r="X883" s="306"/>
      <c r="Y883" s="306"/>
      <c r="Z883" s="306"/>
    </row>
    <row r="884" spans="1:26" x14ac:dyDescent="0.35">
      <c r="A884" s="306"/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N884" s="306"/>
      <c r="O884" s="306"/>
      <c r="P884" s="306"/>
      <c r="Q884" s="306"/>
      <c r="R884" s="306"/>
      <c r="S884" s="306"/>
      <c r="T884" s="306"/>
      <c r="U884" s="306"/>
      <c r="V884" s="306"/>
      <c r="W884" s="306"/>
      <c r="X884" s="306"/>
      <c r="Y884" s="306"/>
      <c r="Z884" s="306"/>
    </row>
    <row r="885" spans="1:26" x14ac:dyDescent="0.35">
      <c r="A885" s="306"/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N885" s="306"/>
      <c r="O885" s="306"/>
      <c r="P885" s="306"/>
      <c r="Q885" s="306"/>
      <c r="R885" s="306"/>
      <c r="S885" s="306"/>
      <c r="T885" s="306"/>
      <c r="U885" s="306"/>
      <c r="V885" s="306"/>
      <c r="W885" s="306"/>
      <c r="X885" s="306"/>
      <c r="Y885" s="306"/>
      <c r="Z885" s="306"/>
    </row>
    <row r="886" spans="1:26" x14ac:dyDescent="0.35">
      <c r="A886" s="306"/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N886" s="306"/>
      <c r="O886" s="306"/>
      <c r="P886" s="306"/>
      <c r="Q886" s="306"/>
      <c r="R886" s="306"/>
      <c r="S886" s="306"/>
      <c r="T886" s="306"/>
      <c r="U886" s="306"/>
      <c r="V886" s="306"/>
      <c r="W886" s="306"/>
      <c r="X886" s="306"/>
      <c r="Y886" s="306"/>
      <c r="Z886" s="306"/>
    </row>
    <row r="887" spans="1:26" x14ac:dyDescent="0.35">
      <c r="A887" s="306"/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N887" s="306"/>
      <c r="O887" s="306"/>
      <c r="P887" s="306"/>
      <c r="Q887" s="306"/>
      <c r="R887" s="306"/>
      <c r="S887" s="306"/>
      <c r="T887" s="306"/>
      <c r="U887" s="306"/>
      <c r="V887" s="306"/>
      <c r="W887" s="306"/>
      <c r="X887" s="306"/>
      <c r="Y887" s="306"/>
      <c r="Z887" s="306"/>
    </row>
    <row r="888" spans="1:26" x14ac:dyDescent="0.35">
      <c r="A888" s="306"/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N888" s="306"/>
      <c r="O888" s="306"/>
      <c r="P888" s="306"/>
      <c r="Q888" s="306"/>
      <c r="R888" s="306"/>
      <c r="S888" s="306"/>
      <c r="T888" s="306"/>
      <c r="U888" s="306"/>
      <c r="V888" s="306"/>
      <c r="W888" s="306"/>
      <c r="X888" s="306"/>
      <c r="Y888" s="306"/>
      <c r="Z888" s="306"/>
    </row>
    <row r="889" spans="1:26" x14ac:dyDescent="0.35">
      <c r="A889" s="306"/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N889" s="306"/>
      <c r="O889" s="306"/>
      <c r="P889" s="306"/>
      <c r="Q889" s="306"/>
      <c r="R889" s="306"/>
      <c r="S889" s="306"/>
      <c r="T889" s="306"/>
      <c r="U889" s="306"/>
      <c r="V889" s="306"/>
      <c r="W889" s="306"/>
      <c r="X889" s="306"/>
      <c r="Y889" s="306"/>
      <c r="Z889" s="306"/>
    </row>
    <row r="890" spans="1:26" x14ac:dyDescent="0.35">
      <c r="A890" s="306"/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N890" s="306"/>
      <c r="O890" s="306"/>
      <c r="P890" s="306"/>
      <c r="Q890" s="306"/>
      <c r="R890" s="306"/>
      <c r="S890" s="306"/>
      <c r="T890" s="306"/>
      <c r="U890" s="306"/>
      <c r="V890" s="306"/>
      <c r="W890" s="306"/>
      <c r="X890" s="306"/>
      <c r="Y890" s="306"/>
      <c r="Z890" s="306"/>
    </row>
    <row r="891" spans="1:26" x14ac:dyDescent="0.35">
      <c r="A891" s="306"/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N891" s="306"/>
      <c r="O891" s="306"/>
      <c r="P891" s="306"/>
      <c r="Q891" s="306"/>
      <c r="R891" s="306"/>
      <c r="S891" s="306"/>
      <c r="T891" s="306"/>
      <c r="U891" s="306"/>
      <c r="V891" s="306"/>
      <c r="W891" s="306"/>
      <c r="X891" s="306"/>
      <c r="Y891" s="306"/>
      <c r="Z891" s="306"/>
    </row>
    <row r="892" spans="1:26" x14ac:dyDescent="0.35">
      <c r="A892" s="306"/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N892" s="306"/>
      <c r="O892" s="306"/>
      <c r="P892" s="306"/>
      <c r="Q892" s="306"/>
      <c r="R892" s="306"/>
      <c r="S892" s="306"/>
      <c r="T892" s="306"/>
      <c r="U892" s="306"/>
      <c r="V892" s="306"/>
      <c r="W892" s="306"/>
      <c r="X892" s="306"/>
      <c r="Y892" s="306"/>
      <c r="Z892" s="306"/>
    </row>
    <row r="893" spans="1:26" x14ac:dyDescent="0.35">
      <c r="A893" s="306"/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N893" s="306"/>
      <c r="O893" s="306"/>
      <c r="P893" s="306"/>
      <c r="Q893" s="306"/>
      <c r="R893" s="306"/>
      <c r="S893" s="306"/>
      <c r="T893" s="306"/>
      <c r="U893" s="306"/>
      <c r="V893" s="306"/>
      <c r="W893" s="306"/>
      <c r="X893" s="306"/>
      <c r="Y893" s="306"/>
      <c r="Z893" s="306"/>
    </row>
    <row r="894" spans="1:26" x14ac:dyDescent="0.35">
      <c r="A894" s="306"/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N894" s="306"/>
      <c r="O894" s="306"/>
      <c r="P894" s="306"/>
      <c r="Q894" s="306"/>
      <c r="R894" s="306"/>
      <c r="S894" s="306"/>
      <c r="T894" s="306"/>
      <c r="U894" s="306"/>
      <c r="V894" s="306"/>
      <c r="W894" s="306"/>
      <c r="X894" s="306"/>
      <c r="Y894" s="306"/>
      <c r="Z894" s="306"/>
    </row>
    <row r="895" spans="1:26" x14ac:dyDescent="0.35">
      <c r="A895" s="306"/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N895" s="306"/>
      <c r="O895" s="306"/>
      <c r="P895" s="306"/>
      <c r="Q895" s="306"/>
      <c r="R895" s="306"/>
      <c r="S895" s="306"/>
      <c r="T895" s="306"/>
      <c r="U895" s="306"/>
      <c r="V895" s="306"/>
      <c r="W895" s="306"/>
      <c r="X895" s="306"/>
      <c r="Y895" s="306"/>
      <c r="Z895" s="306"/>
    </row>
    <row r="896" spans="1:26" x14ac:dyDescent="0.35">
      <c r="A896" s="306"/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N896" s="306"/>
      <c r="O896" s="306"/>
      <c r="P896" s="306"/>
      <c r="Q896" s="306"/>
      <c r="R896" s="306"/>
      <c r="S896" s="306"/>
      <c r="T896" s="306"/>
      <c r="U896" s="306"/>
      <c r="V896" s="306"/>
      <c r="W896" s="306"/>
      <c r="X896" s="306"/>
      <c r="Y896" s="306"/>
      <c r="Z896" s="306"/>
    </row>
    <row r="897" spans="1:26" x14ac:dyDescent="0.35">
      <c r="A897" s="306"/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N897" s="306"/>
      <c r="O897" s="306"/>
      <c r="P897" s="306"/>
      <c r="Q897" s="306"/>
      <c r="R897" s="306"/>
      <c r="S897" s="306"/>
      <c r="T897" s="306"/>
      <c r="U897" s="306"/>
      <c r="V897" s="306"/>
      <c r="W897" s="306"/>
      <c r="X897" s="306"/>
      <c r="Y897" s="306"/>
      <c r="Z897" s="306"/>
    </row>
    <row r="898" spans="1:26" x14ac:dyDescent="0.35">
      <c r="A898" s="306"/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N898" s="306"/>
      <c r="O898" s="306"/>
      <c r="P898" s="306"/>
      <c r="Q898" s="306"/>
      <c r="R898" s="306"/>
      <c r="S898" s="306"/>
      <c r="T898" s="306"/>
      <c r="U898" s="306"/>
      <c r="V898" s="306"/>
      <c r="W898" s="306"/>
      <c r="X898" s="306"/>
      <c r="Y898" s="306"/>
      <c r="Z898" s="306"/>
    </row>
    <row r="899" spans="1:26" x14ac:dyDescent="0.35">
      <c r="A899" s="306"/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N899" s="306"/>
      <c r="O899" s="306"/>
      <c r="P899" s="306"/>
      <c r="Q899" s="306"/>
      <c r="R899" s="306"/>
      <c r="S899" s="306"/>
      <c r="T899" s="306"/>
      <c r="U899" s="306"/>
      <c r="V899" s="306"/>
      <c r="W899" s="306"/>
      <c r="X899" s="306"/>
      <c r="Y899" s="306"/>
      <c r="Z899" s="306"/>
    </row>
    <row r="900" spans="1:26" x14ac:dyDescent="0.35">
      <c r="A900" s="306"/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N900" s="306"/>
      <c r="O900" s="306"/>
      <c r="P900" s="306"/>
      <c r="Q900" s="306"/>
      <c r="R900" s="306"/>
      <c r="S900" s="306"/>
      <c r="T900" s="306"/>
      <c r="U900" s="306"/>
      <c r="V900" s="306"/>
      <c r="W900" s="306"/>
      <c r="X900" s="306"/>
      <c r="Y900" s="306"/>
      <c r="Z900" s="306"/>
    </row>
    <row r="901" spans="1:26" x14ac:dyDescent="0.35">
      <c r="A901" s="306"/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N901" s="306"/>
      <c r="O901" s="306"/>
      <c r="P901" s="306"/>
      <c r="Q901" s="306"/>
      <c r="R901" s="306"/>
      <c r="S901" s="306"/>
      <c r="T901" s="306"/>
      <c r="U901" s="306"/>
      <c r="V901" s="306"/>
      <c r="W901" s="306"/>
      <c r="X901" s="306"/>
      <c r="Y901" s="306"/>
      <c r="Z901" s="306"/>
    </row>
    <row r="902" spans="1:26" x14ac:dyDescent="0.35">
      <c r="A902" s="306"/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N902" s="306"/>
      <c r="O902" s="306"/>
      <c r="P902" s="306"/>
      <c r="Q902" s="306"/>
      <c r="R902" s="306"/>
      <c r="S902" s="306"/>
      <c r="T902" s="306"/>
      <c r="U902" s="306"/>
      <c r="V902" s="306"/>
      <c r="W902" s="306"/>
      <c r="X902" s="306"/>
      <c r="Y902" s="306"/>
      <c r="Z902" s="306"/>
    </row>
    <row r="903" spans="1:26" x14ac:dyDescent="0.35">
      <c r="A903" s="306"/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N903" s="306"/>
      <c r="O903" s="306"/>
      <c r="P903" s="306"/>
      <c r="Q903" s="306"/>
      <c r="R903" s="306"/>
      <c r="S903" s="306"/>
      <c r="T903" s="306"/>
      <c r="U903" s="306"/>
      <c r="V903" s="306"/>
      <c r="W903" s="306"/>
      <c r="X903" s="306"/>
      <c r="Y903" s="306"/>
      <c r="Z903" s="306"/>
    </row>
    <row r="904" spans="1:26" x14ac:dyDescent="0.35">
      <c r="A904" s="306"/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N904" s="306"/>
      <c r="O904" s="306"/>
      <c r="P904" s="306"/>
      <c r="Q904" s="306"/>
      <c r="R904" s="306"/>
      <c r="S904" s="306"/>
      <c r="T904" s="306"/>
      <c r="U904" s="306"/>
      <c r="V904" s="306"/>
      <c r="W904" s="306"/>
      <c r="X904" s="306"/>
      <c r="Y904" s="306"/>
      <c r="Z904" s="306"/>
    </row>
    <row r="905" spans="1:26" x14ac:dyDescent="0.35">
      <c r="A905" s="306"/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N905" s="306"/>
      <c r="O905" s="306"/>
      <c r="P905" s="306"/>
      <c r="Q905" s="306"/>
      <c r="R905" s="306"/>
      <c r="S905" s="306"/>
      <c r="T905" s="306"/>
      <c r="U905" s="306"/>
      <c r="V905" s="306"/>
      <c r="W905" s="306"/>
      <c r="X905" s="306"/>
      <c r="Y905" s="306"/>
      <c r="Z905" s="306"/>
    </row>
    <row r="906" spans="1:26" x14ac:dyDescent="0.35">
      <c r="A906" s="306"/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N906" s="306"/>
      <c r="O906" s="306"/>
      <c r="P906" s="306"/>
      <c r="Q906" s="306"/>
      <c r="R906" s="306"/>
      <c r="S906" s="306"/>
      <c r="T906" s="306"/>
      <c r="U906" s="306"/>
      <c r="V906" s="306"/>
      <c r="W906" s="306"/>
      <c r="X906" s="306"/>
      <c r="Y906" s="306"/>
      <c r="Z906" s="306"/>
    </row>
    <row r="907" spans="1:26" x14ac:dyDescent="0.35">
      <c r="A907" s="306"/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N907" s="306"/>
      <c r="O907" s="306"/>
      <c r="P907" s="306"/>
      <c r="Q907" s="306"/>
      <c r="R907" s="306"/>
      <c r="S907" s="306"/>
      <c r="T907" s="306"/>
      <c r="U907" s="306"/>
      <c r="V907" s="306"/>
      <c r="W907" s="306"/>
      <c r="X907" s="306"/>
      <c r="Y907" s="306"/>
      <c r="Z907" s="306"/>
    </row>
    <row r="908" spans="1:26" x14ac:dyDescent="0.35">
      <c r="A908" s="306"/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N908" s="306"/>
      <c r="O908" s="306"/>
      <c r="P908" s="306"/>
      <c r="Q908" s="306"/>
      <c r="R908" s="306"/>
      <c r="S908" s="306"/>
      <c r="T908" s="306"/>
      <c r="U908" s="306"/>
      <c r="V908" s="306"/>
      <c r="W908" s="306"/>
      <c r="X908" s="306"/>
      <c r="Y908" s="306"/>
      <c r="Z908" s="306"/>
    </row>
    <row r="909" spans="1:26" x14ac:dyDescent="0.35">
      <c r="A909" s="306"/>
      <c r="B909" s="306"/>
      <c r="C909" s="306"/>
      <c r="D909" s="306"/>
      <c r="E909" s="306"/>
      <c r="F909" s="306"/>
      <c r="G909" s="306"/>
      <c r="H909" s="306"/>
      <c r="I909" s="306"/>
      <c r="J909" s="306"/>
      <c r="K909" s="306"/>
      <c r="L909" s="306"/>
      <c r="M909" s="306"/>
      <c r="N909" s="306"/>
      <c r="O909" s="306"/>
      <c r="P909" s="306"/>
      <c r="Q909" s="306"/>
      <c r="R909" s="306"/>
      <c r="S909" s="306"/>
      <c r="T909" s="306"/>
      <c r="U909" s="306"/>
      <c r="V909" s="306"/>
      <c r="W909" s="306"/>
      <c r="X909" s="306"/>
      <c r="Y909" s="306"/>
      <c r="Z909" s="306"/>
    </row>
    <row r="910" spans="1:26" x14ac:dyDescent="0.35">
      <c r="A910" s="306"/>
      <c r="B910" s="306"/>
      <c r="C910" s="306"/>
      <c r="D910" s="306"/>
      <c r="E910" s="306"/>
      <c r="F910" s="306"/>
      <c r="G910" s="306"/>
      <c r="H910" s="306"/>
      <c r="I910" s="306"/>
      <c r="J910" s="306"/>
      <c r="K910" s="306"/>
      <c r="L910" s="306"/>
      <c r="M910" s="306"/>
      <c r="N910" s="306"/>
      <c r="O910" s="306"/>
      <c r="P910" s="306"/>
      <c r="Q910" s="306"/>
      <c r="R910" s="306"/>
      <c r="S910" s="306"/>
      <c r="T910" s="306"/>
      <c r="U910" s="306"/>
      <c r="V910" s="306"/>
      <c r="W910" s="306"/>
      <c r="X910" s="306"/>
      <c r="Y910" s="306"/>
      <c r="Z910" s="306"/>
    </row>
    <row r="911" spans="1:26" x14ac:dyDescent="0.35">
      <c r="A911" s="306"/>
      <c r="B911" s="306"/>
      <c r="C911" s="306"/>
      <c r="D911" s="306"/>
      <c r="E911" s="306"/>
      <c r="F911" s="306"/>
      <c r="G911" s="306"/>
      <c r="H911" s="306"/>
      <c r="I911" s="306"/>
      <c r="J911" s="306"/>
      <c r="K911" s="306"/>
      <c r="L911" s="306"/>
      <c r="M911" s="306"/>
      <c r="N911" s="306"/>
      <c r="O911" s="306"/>
      <c r="P911" s="306"/>
      <c r="Q911" s="306"/>
      <c r="R911" s="306"/>
      <c r="S911" s="306"/>
      <c r="T911" s="306"/>
      <c r="U911" s="306"/>
      <c r="V911" s="306"/>
      <c r="W911" s="306"/>
      <c r="X911" s="306"/>
      <c r="Y911" s="306"/>
      <c r="Z911" s="306"/>
    </row>
    <row r="912" spans="1:26" x14ac:dyDescent="0.35">
      <c r="A912" s="306"/>
      <c r="B912" s="306"/>
      <c r="C912" s="306"/>
      <c r="D912" s="306"/>
      <c r="E912" s="306"/>
      <c r="F912" s="306"/>
      <c r="G912" s="306"/>
      <c r="H912" s="306"/>
      <c r="I912" s="306"/>
      <c r="J912" s="306"/>
      <c r="K912" s="306"/>
      <c r="L912" s="306"/>
      <c r="M912" s="306"/>
      <c r="N912" s="306"/>
      <c r="O912" s="306"/>
      <c r="P912" s="306"/>
      <c r="Q912" s="306"/>
      <c r="R912" s="306"/>
      <c r="S912" s="306"/>
      <c r="T912" s="306"/>
      <c r="U912" s="306"/>
      <c r="V912" s="306"/>
      <c r="W912" s="306"/>
      <c r="X912" s="306"/>
      <c r="Y912" s="306"/>
      <c r="Z912" s="306"/>
    </row>
    <row r="913" spans="1:26" x14ac:dyDescent="0.35">
      <c r="A913" s="306"/>
      <c r="B913" s="306"/>
      <c r="C913" s="306"/>
      <c r="D913" s="306"/>
      <c r="E913" s="306"/>
      <c r="F913" s="306"/>
      <c r="G913" s="306"/>
      <c r="H913" s="306"/>
      <c r="I913" s="306"/>
      <c r="J913" s="306"/>
      <c r="K913" s="306"/>
      <c r="L913" s="306"/>
      <c r="M913" s="306"/>
      <c r="N913" s="306"/>
      <c r="O913" s="306"/>
      <c r="P913" s="306"/>
      <c r="Q913" s="306"/>
      <c r="R913" s="306"/>
      <c r="S913" s="306"/>
      <c r="T913" s="306"/>
      <c r="U913" s="306"/>
      <c r="V913" s="306"/>
      <c r="W913" s="306"/>
      <c r="X913" s="306"/>
      <c r="Y913" s="306"/>
      <c r="Z913" s="306"/>
    </row>
    <row r="914" spans="1:26" x14ac:dyDescent="0.35">
      <c r="A914" s="306"/>
      <c r="B914" s="306"/>
      <c r="C914" s="306"/>
      <c r="D914" s="306"/>
      <c r="E914" s="306"/>
      <c r="F914" s="306"/>
      <c r="G914" s="306"/>
      <c r="H914" s="306"/>
      <c r="I914" s="306"/>
      <c r="J914" s="306"/>
      <c r="K914" s="306"/>
      <c r="L914" s="306"/>
      <c r="M914" s="306"/>
      <c r="N914" s="306"/>
      <c r="O914" s="306"/>
      <c r="P914" s="306"/>
      <c r="Q914" s="306"/>
      <c r="R914" s="306"/>
      <c r="S914" s="306"/>
      <c r="T914" s="306"/>
      <c r="U914" s="306"/>
      <c r="V914" s="306"/>
      <c r="W914" s="306"/>
      <c r="X914" s="306"/>
      <c r="Y914" s="306"/>
      <c r="Z914" s="306"/>
    </row>
    <row r="915" spans="1:26" x14ac:dyDescent="0.35">
      <c r="A915" s="306"/>
      <c r="B915" s="306"/>
      <c r="C915" s="306"/>
      <c r="D915" s="306"/>
      <c r="E915" s="306"/>
      <c r="F915" s="306"/>
      <c r="G915" s="306"/>
      <c r="H915" s="306"/>
      <c r="I915" s="306"/>
      <c r="J915" s="306"/>
      <c r="K915" s="306"/>
      <c r="L915" s="306"/>
      <c r="M915" s="306"/>
      <c r="N915" s="306"/>
      <c r="O915" s="306"/>
      <c r="P915" s="306"/>
      <c r="Q915" s="306"/>
      <c r="R915" s="306"/>
      <c r="S915" s="306"/>
      <c r="T915" s="306"/>
      <c r="U915" s="306"/>
      <c r="V915" s="306"/>
      <c r="W915" s="306"/>
      <c r="X915" s="306"/>
      <c r="Y915" s="306"/>
      <c r="Z915" s="306"/>
    </row>
    <row r="916" spans="1:26" x14ac:dyDescent="0.35">
      <c r="A916" s="306"/>
      <c r="B916" s="306"/>
      <c r="C916" s="306"/>
      <c r="D916" s="306"/>
      <c r="E916" s="306"/>
      <c r="F916" s="306"/>
      <c r="G916" s="306"/>
      <c r="H916" s="306"/>
      <c r="I916" s="306"/>
      <c r="J916" s="306"/>
      <c r="K916" s="306"/>
      <c r="L916" s="306"/>
      <c r="M916" s="306"/>
      <c r="N916" s="306"/>
      <c r="O916" s="306"/>
      <c r="P916" s="306"/>
      <c r="Q916" s="306"/>
      <c r="R916" s="306"/>
      <c r="S916" s="306"/>
      <c r="T916" s="306"/>
      <c r="U916" s="306"/>
      <c r="V916" s="306"/>
      <c r="W916" s="306"/>
      <c r="X916" s="306"/>
      <c r="Y916" s="306"/>
      <c r="Z916" s="306"/>
    </row>
    <row r="917" spans="1:26" x14ac:dyDescent="0.35">
      <c r="A917" s="306"/>
      <c r="B917" s="306"/>
      <c r="C917" s="306"/>
      <c r="D917" s="306"/>
      <c r="E917" s="306"/>
      <c r="F917" s="306"/>
      <c r="G917" s="306"/>
      <c r="H917" s="306"/>
      <c r="I917" s="306"/>
      <c r="J917" s="306"/>
      <c r="K917" s="306"/>
      <c r="L917" s="306"/>
      <c r="M917" s="306"/>
      <c r="N917" s="306"/>
      <c r="O917" s="306"/>
      <c r="P917" s="306"/>
      <c r="Q917" s="306"/>
      <c r="R917" s="306"/>
      <c r="S917" s="306"/>
      <c r="T917" s="306"/>
      <c r="U917" s="306"/>
      <c r="V917" s="306"/>
      <c r="W917" s="306"/>
      <c r="X917" s="306"/>
      <c r="Y917" s="306"/>
      <c r="Z917" s="306"/>
    </row>
    <row r="918" spans="1:26" x14ac:dyDescent="0.35">
      <c r="A918" s="306"/>
      <c r="B918" s="306"/>
      <c r="C918" s="306"/>
      <c r="D918" s="306"/>
      <c r="E918" s="306"/>
      <c r="F918" s="306"/>
      <c r="G918" s="306"/>
      <c r="H918" s="306"/>
      <c r="I918" s="306"/>
      <c r="J918" s="306"/>
      <c r="K918" s="306"/>
      <c r="L918" s="306"/>
      <c r="M918" s="306"/>
      <c r="N918" s="306"/>
      <c r="O918" s="306"/>
      <c r="P918" s="306"/>
      <c r="Q918" s="306"/>
      <c r="R918" s="306"/>
      <c r="S918" s="306"/>
      <c r="T918" s="306"/>
      <c r="U918" s="306"/>
      <c r="V918" s="306"/>
      <c r="W918" s="306"/>
      <c r="X918" s="306"/>
      <c r="Y918" s="306"/>
      <c r="Z918" s="306"/>
    </row>
    <row r="919" spans="1:26" x14ac:dyDescent="0.35">
      <c r="A919" s="306"/>
      <c r="B919" s="306"/>
      <c r="C919" s="306"/>
      <c r="D919" s="306"/>
      <c r="E919" s="306"/>
      <c r="F919" s="306"/>
      <c r="G919" s="306"/>
      <c r="H919" s="306"/>
      <c r="I919" s="306"/>
      <c r="J919" s="306"/>
      <c r="K919" s="306"/>
      <c r="L919" s="306"/>
      <c r="M919" s="306"/>
      <c r="N919" s="306"/>
      <c r="O919" s="306"/>
      <c r="P919" s="306"/>
      <c r="Q919" s="306"/>
      <c r="R919" s="306"/>
      <c r="S919" s="306"/>
      <c r="T919" s="306"/>
      <c r="U919" s="306"/>
      <c r="V919" s="306"/>
      <c r="W919" s="306"/>
      <c r="X919" s="306"/>
      <c r="Y919" s="306"/>
      <c r="Z919" s="306"/>
    </row>
    <row r="920" spans="1:26" x14ac:dyDescent="0.35">
      <c r="A920" s="306"/>
      <c r="B920" s="306"/>
      <c r="C920" s="306"/>
      <c r="D920" s="306"/>
      <c r="E920" s="306"/>
      <c r="F920" s="306"/>
      <c r="G920" s="306"/>
      <c r="H920" s="306"/>
      <c r="I920" s="306"/>
      <c r="J920" s="306"/>
      <c r="K920" s="306"/>
      <c r="L920" s="306"/>
      <c r="M920" s="306"/>
      <c r="N920" s="306"/>
      <c r="O920" s="306"/>
      <c r="P920" s="306"/>
      <c r="Q920" s="306"/>
      <c r="R920" s="306"/>
      <c r="S920" s="306"/>
      <c r="T920" s="306"/>
      <c r="U920" s="306"/>
      <c r="V920" s="306"/>
      <c r="W920" s="306"/>
      <c r="X920" s="306"/>
      <c r="Y920" s="306"/>
      <c r="Z920" s="306"/>
    </row>
    <row r="921" spans="1:26" x14ac:dyDescent="0.35">
      <c r="A921" s="306"/>
      <c r="B921" s="306"/>
      <c r="C921" s="306"/>
      <c r="D921" s="306"/>
      <c r="E921" s="306"/>
      <c r="F921" s="306"/>
      <c r="G921" s="306"/>
      <c r="H921" s="306"/>
      <c r="I921" s="306"/>
      <c r="J921" s="306"/>
      <c r="K921" s="306"/>
      <c r="L921" s="306"/>
      <c r="M921" s="306"/>
      <c r="N921" s="306"/>
      <c r="O921" s="306"/>
      <c r="P921" s="306"/>
      <c r="Q921" s="306"/>
      <c r="R921" s="306"/>
      <c r="S921" s="306"/>
      <c r="T921" s="306"/>
      <c r="U921" s="306"/>
      <c r="V921" s="306"/>
      <c r="W921" s="306"/>
      <c r="X921" s="306"/>
      <c r="Y921" s="306"/>
      <c r="Z921" s="306"/>
    </row>
    <row r="922" spans="1:26" x14ac:dyDescent="0.35">
      <c r="A922" s="306"/>
      <c r="B922" s="306"/>
      <c r="C922" s="306"/>
      <c r="D922" s="306"/>
      <c r="E922" s="306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</row>
    <row r="923" spans="1:26" x14ac:dyDescent="0.35">
      <c r="A923" s="306"/>
      <c r="B923" s="306"/>
      <c r="C923" s="306"/>
      <c r="D923" s="306"/>
      <c r="E923" s="306"/>
      <c r="F923" s="306"/>
      <c r="G923" s="306"/>
      <c r="H923" s="306"/>
      <c r="I923" s="306"/>
      <c r="J923" s="306"/>
      <c r="K923" s="306"/>
      <c r="L923" s="306"/>
      <c r="M923" s="306"/>
      <c r="N923" s="306"/>
      <c r="O923" s="306"/>
      <c r="P923" s="306"/>
      <c r="Q923" s="306"/>
      <c r="R923" s="306"/>
      <c r="S923" s="306"/>
      <c r="T923" s="306"/>
      <c r="U923" s="306"/>
      <c r="V923" s="306"/>
      <c r="W923" s="306"/>
      <c r="X923" s="306"/>
      <c r="Y923" s="306"/>
      <c r="Z923" s="306"/>
    </row>
    <row r="924" spans="1:26" x14ac:dyDescent="0.35">
      <c r="A924" s="306"/>
      <c r="B924" s="306"/>
      <c r="C924" s="306"/>
      <c r="D924" s="306"/>
      <c r="E924" s="306"/>
      <c r="F924" s="306"/>
      <c r="G924" s="306"/>
      <c r="H924" s="306"/>
      <c r="I924" s="306"/>
      <c r="J924" s="306"/>
      <c r="K924" s="306"/>
      <c r="L924" s="306"/>
      <c r="M924" s="306"/>
      <c r="N924" s="306"/>
      <c r="O924" s="306"/>
      <c r="P924" s="306"/>
      <c r="Q924" s="306"/>
      <c r="R924" s="306"/>
      <c r="S924" s="306"/>
      <c r="T924" s="306"/>
      <c r="U924" s="306"/>
      <c r="V924" s="306"/>
      <c r="W924" s="306"/>
      <c r="X924" s="306"/>
      <c r="Y924" s="306"/>
      <c r="Z924" s="306"/>
    </row>
    <row r="925" spans="1:26" x14ac:dyDescent="0.35">
      <c r="A925" s="306"/>
      <c r="B925" s="306"/>
      <c r="C925" s="306"/>
      <c r="D925" s="306"/>
      <c r="E925" s="306"/>
      <c r="F925" s="306"/>
      <c r="G925" s="306"/>
      <c r="H925" s="306"/>
      <c r="I925" s="306"/>
      <c r="J925" s="306"/>
      <c r="K925" s="306"/>
      <c r="L925" s="306"/>
      <c r="M925" s="306"/>
      <c r="N925" s="306"/>
      <c r="O925" s="306"/>
      <c r="P925" s="306"/>
      <c r="Q925" s="306"/>
      <c r="R925" s="306"/>
      <c r="S925" s="306"/>
      <c r="T925" s="306"/>
      <c r="U925" s="306"/>
      <c r="V925" s="306"/>
      <c r="W925" s="306"/>
      <c r="X925" s="306"/>
      <c r="Y925" s="306"/>
      <c r="Z925" s="306"/>
    </row>
    <row r="926" spans="1:26" x14ac:dyDescent="0.35">
      <c r="A926" s="306"/>
      <c r="B926" s="306"/>
      <c r="C926" s="306"/>
      <c r="D926" s="306"/>
      <c r="E926" s="306"/>
      <c r="F926" s="306"/>
      <c r="G926" s="306"/>
      <c r="H926" s="306"/>
      <c r="I926" s="306"/>
      <c r="J926" s="306"/>
      <c r="K926" s="306"/>
      <c r="L926" s="306"/>
      <c r="M926" s="306"/>
      <c r="N926" s="306"/>
      <c r="O926" s="306"/>
      <c r="P926" s="306"/>
      <c r="Q926" s="306"/>
      <c r="R926" s="306"/>
      <c r="S926" s="306"/>
      <c r="T926" s="306"/>
      <c r="U926" s="306"/>
      <c r="V926" s="306"/>
      <c r="W926" s="306"/>
      <c r="X926" s="306"/>
      <c r="Y926" s="306"/>
      <c r="Z926" s="306"/>
    </row>
    <row r="927" spans="1:26" x14ac:dyDescent="0.35">
      <c r="A927" s="306"/>
      <c r="B927" s="306"/>
      <c r="C927" s="306"/>
      <c r="D927" s="306"/>
      <c r="E927" s="306"/>
      <c r="F927" s="306"/>
      <c r="G927" s="306"/>
      <c r="H927" s="306"/>
      <c r="I927" s="306"/>
      <c r="J927" s="306"/>
      <c r="K927" s="306"/>
      <c r="L927" s="306"/>
      <c r="M927" s="306"/>
      <c r="N927" s="306"/>
      <c r="O927" s="306"/>
      <c r="P927" s="306"/>
      <c r="Q927" s="306"/>
      <c r="R927" s="306"/>
      <c r="S927" s="306"/>
      <c r="T927" s="306"/>
      <c r="U927" s="306"/>
      <c r="V927" s="306"/>
      <c r="W927" s="306"/>
      <c r="X927" s="306"/>
      <c r="Y927" s="306"/>
      <c r="Z927" s="306"/>
    </row>
    <row r="928" spans="1:26" x14ac:dyDescent="0.35">
      <c r="A928" s="306"/>
      <c r="B928" s="306"/>
      <c r="C928" s="306"/>
      <c r="D928" s="306"/>
      <c r="E928" s="306"/>
      <c r="F928" s="306"/>
      <c r="G928" s="306"/>
      <c r="H928" s="306"/>
      <c r="I928" s="306"/>
      <c r="J928" s="306"/>
      <c r="K928" s="306"/>
      <c r="L928" s="306"/>
      <c r="M928" s="306"/>
      <c r="N928" s="306"/>
      <c r="O928" s="306"/>
      <c r="P928" s="306"/>
      <c r="Q928" s="306"/>
      <c r="R928" s="306"/>
      <c r="S928" s="306"/>
      <c r="T928" s="306"/>
      <c r="U928" s="306"/>
      <c r="V928" s="306"/>
      <c r="W928" s="306"/>
      <c r="X928" s="306"/>
      <c r="Y928" s="306"/>
      <c r="Z928" s="306"/>
    </row>
    <row r="929" spans="1:26" x14ac:dyDescent="0.35">
      <c r="A929" s="306"/>
      <c r="B929" s="306"/>
      <c r="C929" s="306"/>
      <c r="D929" s="306"/>
      <c r="E929" s="306"/>
      <c r="F929" s="306"/>
      <c r="G929" s="306"/>
      <c r="H929" s="306"/>
      <c r="I929" s="306"/>
      <c r="J929" s="306"/>
      <c r="K929" s="306"/>
      <c r="L929" s="306"/>
      <c r="M929" s="306"/>
      <c r="N929" s="306"/>
      <c r="O929" s="306"/>
      <c r="P929" s="306"/>
      <c r="Q929" s="306"/>
      <c r="R929" s="306"/>
      <c r="S929" s="306"/>
      <c r="T929" s="306"/>
      <c r="U929" s="306"/>
      <c r="V929" s="306"/>
      <c r="W929" s="306"/>
      <c r="X929" s="306"/>
      <c r="Y929" s="306"/>
      <c r="Z929" s="306"/>
    </row>
    <row r="930" spans="1:26" x14ac:dyDescent="0.35">
      <c r="A930" s="306"/>
      <c r="B930" s="306"/>
      <c r="C930" s="306"/>
      <c r="D930" s="306"/>
      <c r="E930" s="306"/>
      <c r="F930" s="306"/>
      <c r="G930" s="306"/>
      <c r="H930" s="306"/>
      <c r="I930" s="306"/>
      <c r="J930" s="306"/>
      <c r="K930" s="306"/>
      <c r="L930" s="306"/>
      <c r="M930" s="306"/>
      <c r="N930" s="306"/>
      <c r="O930" s="306"/>
      <c r="P930" s="306"/>
      <c r="Q930" s="306"/>
      <c r="R930" s="306"/>
      <c r="S930" s="306"/>
      <c r="T930" s="306"/>
      <c r="U930" s="306"/>
      <c r="V930" s="306"/>
      <c r="W930" s="306"/>
      <c r="X930" s="306"/>
      <c r="Y930" s="306"/>
      <c r="Z930" s="306"/>
    </row>
    <row r="931" spans="1:26" x14ac:dyDescent="0.35">
      <c r="A931" s="306"/>
      <c r="B931" s="306"/>
      <c r="C931" s="306"/>
      <c r="D931" s="306"/>
      <c r="E931" s="306"/>
      <c r="F931" s="306"/>
      <c r="G931" s="306"/>
      <c r="H931" s="306"/>
      <c r="I931" s="306"/>
      <c r="J931" s="306"/>
      <c r="K931" s="306"/>
      <c r="L931" s="306"/>
      <c r="M931" s="306"/>
      <c r="N931" s="306"/>
      <c r="O931" s="306"/>
      <c r="P931" s="306"/>
      <c r="Q931" s="306"/>
      <c r="R931" s="306"/>
      <c r="S931" s="306"/>
      <c r="T931" s="306"/>
      <c r="U931" s="306"/>
      <c r="V931" s="306"/>
      <c r="W931" s="306"/>
      <c r="X931" s="306"/>
      <c r="Y931" s="306"/>
      <c r="Z931" s="306"/>
    </row>
    <row r="932" spans="1:26" x14ac:dyDescent="0.35">
      <c r="A932" s="306"/>
      <c r="B932" s="306"/>
      <c r="C932" s="306"/>
      <c r="D932" s="306"/>
      <c r="E932" s="306"/>
      <c r="F932" s="306"/>
      <c r="G932" s="306"/>
      <c r="H932" s="306"/>
      <c r="I932" s="306"/>
      <c r="J932" s="306"/>
      <c r="K932" s="306"/>
      <c r="L932" s="306"/>
      <c r="M932" s="306"/>
      <c r="N932" s="306"/>
      <c r="O932" s="306"/>
      <c r="P932" s="306"/>
      <c r="Q932" s="306"/>
      <c r="R932" s="306"/>
      <c r="S932" s="306"/>
      <c r="T932" s="306"/>
      <c r="U932" s="306"/>
      <c r="V932" s="306"/>
      <c r="W932" s="306"/>
      <c r="X932" s="306"/>
      <c r="Y932" s="306"/>
      <c r="Z932" s="306"/>
    </row>
    <row r="933" spans="1:26" x14ac:dyDescent="0.35">
      <c r="A933" s="306"/>
      <c r="B933" s="306"/>
      <c r="C933" s="306"/>
      <c r="D933" s="306"/>
      <c r="E933" s="306"/>
      <c r="F933" s="306"/>
      <c r="G933" s="306"/>
      <c r="H933" s="306"/>
      <c r="I933" s="306"/>
      <c r="J933" s="306"/>
      <c r="K933" s="306"/>
      <c r="L933" s="306"/>
      <c r="M933" s="306"/>
      <c r="N933" s="306"/>
      <c r="O933" s="306"/>
      <c r="P933" s="306"/>
      <c r="Q933" s="306"/>
      <c r="R933" s="306"/>
      <c r="S933" s="306"/>
      <c r="T933" s="306"/>
      <c r="U933" s="306"/>
      <c r="V933" s="306"/>
      <c r="W933" s="306"/>
      <c r="X933" s="306"/>
      <c r="Y933" s="306"/>
      <c r="Z933" s="306"/>
    </row>
    <row r="934" spans="1:26" x14ac:dyDescent="0.35">
      <c r="A934" s="306"/>
      <c r="B934" s="306"/>
      <c r="C934" s="306"/>
      <c r="D934" s="306"/>
      <c r="E934" s="306"/>
      <c r="F934" s="306"/>
      <c r="G934" s="306"/>
      <c r="H934" s="306"/>
      <c r="I934" s="306"/>
      <c r="J934" s="306"/>
      <c r="K934" s="306"/>
      <c r="L934" s="306"/>
      <c r="M934" s="306"/>
      <c r="N934" s="306"/>
      <c r="O934" s="306"/>
      <c r="P934" s="306"/>
      <c r="Q934" s="306"/>
      <c r="R934" s="306"/>
      <c r="S934" s="306"/>
      <c r="T934" s="306"/>
      <c r="U934" s="306"/>
      <c r="V934" s="306"/>
      <c r="W934" s="306"/>
      <c r="X934" s="306"/>
      <c r="Y934" s="306"/>
      <c r="Z934" s="306"/>
    </row>
    <row r="935" spans="1:26" x14ac:dyDescent="0.35">
      <c r="A935" s="306"/>
      <c r="B935" s="306"/>
      <c r="C935" s="306"/>
      <c r="D935" s="306"/>
      <c r="E935" s="306"/>
      <c r="F935" s="306"/>
      <c r="G935" s="306"/>
      <c r="H935" s="306"/>
      <c r="I935" s="306"/>
      <c r="J935" s="306"/>
      <c r="K935" s="306"/>
      <c r="L935" s="306"/>
      <c r="M935" s="306"/>
      <c r="N935" s="306"/>
      <c r="O935" s="306"/>
      <c r="P935" s="306"/>
      <c r="Q935" s="306"/>
      <c r="R935" s="306"/>
      <c r="S935" s="306"/>
      <c r="T935" s="306"/>
      <c r="U935" s="306"/>
      <c r="V935" s="306"/>
      <c r="W935" s="306"/>
      <c r="X935" s="306"/>
      <c r="Y935" s="306"/>
      <c r="Z935" s="306"/>
    </row>
    <row r="936" spans="1:26" x14ac:dyDescent="0.35">
      <c r="A936" s="306"/>
      <c r="B936" s="306"/>
      <c r="C936" s="306"/>
      <c r="D936" s="306"/>
      <c r="E936" s="306"/>
      <c r="F936" s="306"/>
      <c r="G936" s="306"/>
      <c r="H936" s="306"/>
      <c r="I936" s="306"/>
      <c r="J936" s="306"/>
      <c r="K936" s="306"/>
      <c r="L936" s="306"/>
      <c r="M936" s="306"/>
      <c r="N936" s="306"/>
      <c r="O936" s="306"/>
      <c r="P936" s="306"/>
      <c r="Q936" s="306"/>
      <c r="R936" s="306"/>
      <c r="S936" s="306"/>
      <c r="T936" s="306"/>
      <c r="U936" s="306"/>
      <c r="V936" s="306"/>
      <c r="W936" s="306"/>
      <c r="X936" s="306"/>
      <c r="Y936" s="306"/>
      <c r="Z936" s="306"/>
    </row>
    <row r="937" spans="1:26" x14ac:dyDescent="0.35">
      <c r="A937" s="306"/>
      <c r="B937" s="306"/>
      <c r="C937" s="306"/>
      <c r="D937" s="306"/>
      <c r="E937" s="306"/>
      <c r="F937" s="306"/>
      <c r="G937" s="306"/>
      <c r="H937" s="306"/>
      <c r="I937" s="306"/>
      <c r="J937" s="306"/>
      <c r="K937" s="306"/>
      <c r="L937" s="306"/>
      <c r="M937" s="306"/>
      <c r="N937" s="306"/>
      <c r="O937" s="306"/>
      <c r="P937" s="306"/>
      <c r="Q937" s="306"/>
      <c r="R937" s="306"/>
      <c r="S937" s="306"/>
      <c r="T937" s="306"/>
      <c r="U937" s="306"/>
      <c r="V937" s="306"/>
      <c r="W937" s="306"/>
      <c r="X937" s="306"/>
      <c r="Y937" s="306"/>
      <c r="Z937" s="306"/>
    </row>
    <row r="938" spans="1:26" x14ac:dyDescent="0.35">
      <c r="A938" s="306"/>
      <c r="B938" s="306"/>
      <c r="C938" s="306"/>
      <c r="D938" s="306"/>
      <c r="E938" s="306"/>
      <c r="F938" s="306"/>
      <c r="G938" s="306"/>
      <c r="H938" s="306"/>
      <c r="I938" s="306"/>
      <c r="J938" s="306"/>
      <c r="K938" s="306"/>
      <c r="L938" s="306"/>
      <c r="M938" s="306"/>
      <c r="N938" s="306"/>
      <c r="O938" s="306"/>
      <c r="P938" s="306"/>
      <c r="Q938" s="306"/>
      <c r="R938" s="306"/>
      <c r="S938" s="306"/>
      <c r="T938" s="306"/>
      <c r="U938" s="306"/>
      <c r="V938" s="306"/>
      <c r="W938" s="306"/>
      <c r="X938" s="306"/>
      <c r="Y938" s="306"/>
      <c r="Z938" s="306"/>
    </row>
    <row r="939" spans="1:26" x14ac:dyDescent="0.35">
      <c r="A939" s="306"/>
      <c r="B939" s="306"/>
      <c r="C939" s="306"/>
      <c r="D939" s="306"/>
      <c r="E939" s="306"/>
      <c r="F939" s="306"/>
      <c r="G939" s="306"/>
      <c r="H939" s="306"/>
      <c r="I939" s="306"/>
      <c r="J939" s="306"/>
      <c r="K939" s="306"/>
      <c r="L939" s="306"/>
      <c r="M939" s="306"/>
      <c r="N939" s="306"/>
      <c r="O939" s="306"/>
      <c r="P939" s="306"/>
      <c r="Q939" s="306"/>
      <c r="R939" s="306"/>
      <c r="S939" s="306"/>
      <c r="T939" s="306"/>
      <c r="U939" s="306"/>
      <c r="V939" s="306"/>
      <c r="W939" s="306"/>
      <c r="X939" s="306"/>
      <c r="Y939" s="306"/>
      <c r="Z939" s="306"/>
    </row>
    <row r="940" spans="1:26" x14ac:dyDescent="0.35">
      <c r="A940" s="306"/>
      <c r="B940" s="306"/>
      <c r="C940" s="306"/>
      <c r="D940" s="306"/>
      <c r="E940" s="306"/>
      <c r="F940" s="306"/>
      <c r="G940" s="306"/>
      <c r="H940" s="306"/>
      <c r="I940" s="306"/>
      <c r="J940" s="306"/>
      <c r="K940" s="306"/>
      <c r="L940" s="306"/>
      <c r="M940" s="306"/>
      <c r="N940" s="306"/>
      <c r="O940" s="306"/>
      <c r="P940" s="306"/>
      <c r="Q940" s="306"/>
      <c r="R940" s="306"/>
      <c r="S940" s="306"/>
      <c r="T940" s="306"/>
      <c r="U940" s="306"/>
      <c r="V940" s="306"/>
      <c r="W940" s="306"/>
      <c r="X940" s="306"/>
      <c r="Y940" s="306"/>
      <c r="Z940" s="306"/>
    </row>
    <row r="941" spans="1:26" x14ac:dyDescent="0.35">
      <c r="A941" s="306"/>
      <c r="B941" s="306"/>
      <c r="C941" s="306"/>
      <c r="D941" s="306"/>
      <c r="E941" s="306"/>
      <c r="F941" s="306"/>
      <c r="G941" s="306"/>
      <c r="H941" s="306"/>
      <c r="I941" s="306"/>
      <c r="J941" s="306"/>
      <c r="K941" s="306"/>
      <c r="L941" s="306"/>
      <c r="M941" s="306"/>
      <c r="N941" s="306"/>
      <c r="O941" s="306"/>
      <c r="P941" s="306"/>
      <c r="Q941" s="306"/>
      <c r="R941" s="306"/>
      <c r="S941" s="306"/>
      <c r="T941" s="306"/>
      <c r="U941" s="306"/>
      <c r="V941" s="306"/>
      <c r="W941" s="306"/>
      <c r="X941" s="306"/>
      <c r="Y941" s="306"/>
      <c r="Z941" s="306"/>
    </row>
    <row r="942" spans="1:26" x14ac:dyDescent="0.35">
      <c r="A942" s="306"/>
      <c r="B942" s="306"/>
      <c r="C942" s="306"/>
      <c r="D942" s="306"/>
      <c r="E942" s="306"/>
      <c r="F942" s="306"/>
      <c r="G942" s="306"/>
      <c r="H942" s="306"/>
      <c r="I942" s="306"/>
      <c r="J942" s="306"/>
      <c r="K942" s="306"/>
      <c r="L942" s="306"/>
      <c r="M942" s="306"/>
      <c r="N942" s="306"/>
      <c r="O942" s="306"/>
      <c r="P942" s="306"/>
      <c r="Q942" s="306"/>
      <c r="R942" s="306"/>
      <c r="S942" s="306"/>
      <c r="T942" s="306"/>
      <c r="U942" s="306"/>
      <c r="V942" s="306"/>
      <c r="W942" s="306"/>
      <c r="X942" s="306"/>
      <c r="Y942" s="306"/>
      <c r="Z942" s="306"/>
    </row>
    <row r="943" spans="1:26" x14ac:dyDescent="0.35">
      <c r="A943" s="306"/>
      <c r="B943" s="306"/>
      <c r="C943" s="306"/>
      <c r="D943" s="306"/>
      <c r="E943" s="306"/>
      <c r="F943" s="306"/>
      <c r="G943" s="306"/>
      <c r="H943" s="306"/>
      <c r="I943" s="306"/>
      <c r="J943" s="306"/>
      <c r="K943" s="306"/>
      <c r="L943" s="306"/>
      <c r="M943" s="306"/>
      <c r="N943" s="306"/>
      <c r="O943" s="306"/>
      <c r="P943" s="306"/>
      <c r="Q943" s="306"/>
      <c r="R943" s="306"/>
      <c r="S943" s="306"/>
      <c r="T943" s="306"/>
      <c r="U943" s="306"/>
      <c r="V943" s="306"/>
      <c r="W943" s="306"/>
      <c r="X943" s="306"/>
      <c r="Y943" s="306"/>
      <c r="Z943" s="306"/>
    </row>
    <row r="944" spans="1:26" x14ac:dyDescent="0.35">
      <c r="A944" s="306"/>
      <c r="B944" s="306"/>
      <c r="C944" s="306"/>
      <c r="D944" s="306"/>
      <c r="E944" s="306"/>
      <c r="F944" s="306"/>
      <c r="G944" s="306"/>
      <c r="H944" s="306"/>
      <c r="I944" s="306"/>
      <c r="J944" s="306"/>
      <c r="K944" s="306"/>
      <c r="L944" s="306"/>
      <c r="M944" s="306"/>
      <c r="N944" s="306"/>
      <c r="O944" s="306"/>
      <c r="P944" s="306"/>
      <c r="Q944" s="306"/>
      <c r="R944" s="306"/>
      <c r="S944" s="306"/>
      <c r="T944" s="306"/>
      <c r="U944" s="306"/>
      <c r="V944" s="306"/>
      <c r="W944" s="306"/>
      <c r="X944" s="306"/>
      <c r="Y944" s="306"/>
      <c r="Z944" s="306"/>
    </row>
    <row r="945" spans="1:26" x14ac:dyDescent="0.35">
      <c r="A945" s="306"/>
      <c r="B945" s="306"/>
      <c r="C945" s="306"/>
      <c r="D945" s="306"/>
      <c r="E945" s="306"/>
      <c r="F945" s="306"/>
      <c r="G945" s="306"/>
      <c r="H945" s="306"/>
      <c r="I945" s="306"/>
      <c r="J945" s="306"/>
      <c r="K945" s="306"/>
      <c r="L945" s="306"/>
      <c r="M945" s="306"/>
      <c r="N945" s="306"/>
      <c r="O945" s="306"/>
      <c r="P945" s="306"/>
      <c r="Q945" s="306"/>
      <c r="R945" s="306"/>
      <c r="S945" s="306"/>
      <c r="T945" s="306"/>
      <c r="U945" s="306"/>
      <c r="V945" s="306"/>
      <c r="W945" s="306"/>
      <c r="X945" s="306"/>
      <c r="Y945" s="306"/>
      <c r="Z945" s="306"/>
    </row>
    <row r="946" spans="1:26" x14ac:dyDescent="0.35">
      <c r="A946" s="306"/>
      <c r="B946" s="306"/>
      <c r="C946" s="306"/>
      <c r="D946" s="306"/>
      <c r="E946" s="306"/>
      <c r="F946" s="306"/>
      <c r="G946" s="306"/>
      <c r="H946" s="306"/>
      <c r="I946" s="306"/>
      <c r="J946" s="306"/>
      <c r="K946" s="306"/>
      <c r="L946" s="306"/>
      <c r="M946" s="306"/>
      <c r="N946" s="306"/>
      <c r="O946" s="306"/>
      <c r="P946" s="306"/>
      <c r="Q946" s="306"/>
      <c r="R946" s="306"/>
      <c r="S946" s="306"/>
      <c r="T946" s="306"/>
      <c r="U946" s="306"/>
      <c r="V946" s="306"/>
      <c r="W946" s="306"/>
      <c r="X946" s="306"/>
      <c r="Y946" s="306"/>
      <c r="Z946" s="306"/>
    </row>
    <row r="947" spans="1:26" x14ac:dyDescent="0.35">
      <c r="A947" s="306"/>
      <c r="B947" s="306"/>
      <c r="C947" s="306"/>
      <c r="D947" s="306"/>
      <c r="E947" s="306"/>
      <c r="F947" s="306"/>
      <c r="G947" s="306"/>
      <c r="H947" s="306"/>
      <c r="I947" s="306"/>
      <c r="J947" s="306"/>
      <c r="K947" s="306"/>
      <c r="L947" s="306"/>
      <c r="M947" s="306"/>
      <c r="N947" s="306"/>
      <c r="O947" s="306"/>
      <c r="P947" s="306"/>
      <c r="Q947" s="306"/>
      <c r="R947" s="306"/>
      <c r="S947" s="306"/>
      <c r="T947" s="306"/>
      <c r="U947" s="306"/>
      <c r="V947" s="306"/>
      <c r="W947" s="306"/>
      <c r="X947" s="306"/>
      <c r="Y947" s="306"/>
      <c r="Z947" s="306"/>
    </row>
    <row r="948" spans="1:26" x14ac:dyDescent="0.35">
      <c r="A948" s="306"/>
      <c r="B948" s="306"/>
      <c r="C948" s="306"/>
      <c r="D948" s="306"/>
      <c r="E948" s="306"/>
      <c r="F948" s="306"/>
      <c r="G948" s="306"/>
      <c r="H948" s="306"/>
      <c r="I948" s="306"/>
      <c r="J948" s="306"/>
      <c r="K948" s="306"/>
      <c r="L948" s="306"/>
      <c r="M948" s="306"/>
      <c r="N948" s="306"/>
      <c r="O948" s="306"/>
      <c r="P948" s="306"/>
      <c r="Q948" s="306"/>
      <c r="R948" s="306"/>
      <c r="S948" s="306"/>
      <c r="T948" s="306"/>
      <c r="U948" s="306"/>
      <c r="V948" s="306"/>
      <c r="W948" s="306"/>
      <c r="X948" s="306"/>
      <c r="Y948" s="306"/>
      <c r="Z948" s="306"/>
    </row>
    <row r="949" spans="1:26" x14ac:dyDescent="0.35">
      <c r="A949" s="306"/>
      <c r="B949" s="306"/>
      <c r="C949" s="306"/>
      <c r="D949" s="306"/>
      <c r="E949" s="306"/>
      <c r="F949" s="306"/>
      <c r="G949" s="306"/>
      <c r="H949" s="306"/>
      <c r="I949" s="306"/>
      <c r="J949" s="306"/>
      <c r="K949" s="306"/>
      <c r="L949" s="306"/>
      <c r="M949" s="306"/>
      <c r="N949" s="306"/>
      <c r="O949" s="306"/>
      <c r="P949" s="306"/>
      <c r="Q949" s="306"/>
      <c r="R949" s="306"/>
      <c r="S949" s="306"/>
      <c r="T949" s="306"/>
      <c r="U949" s="306"/>
      <c r="V949" s="306"/>
      <c r="W949" s="306"/>
      <c r="X949" s="306"/>
      <c r="Y949" s="306"/>
      <c r="Z949" s="306"/>
    </row>
    <row r="950" spans="1:26" x14ac:dyDescent="0.35">
      <c r="A950" s="306"/>
      <c r="B950" s="306"/>
      <c r="C950" s="306"/>
      <c r="D950" s="306"/>
      <c r="E950" s="306"/>
      <c r="F950" s="306"/>
      <c r="G950" s="306"/>
      <c r="H950" s="306"/>
      <c r="I950" s="306"/>
      <c r="J950" s="306"/>
      <c r="K950" s="306"/>
      <c r="L950" s="306"/>
      <c r="M950" s="306"/>
      <c r="N950" s="306"/>
      <c r="O950" s="306"/>
      <c r="P950" s="306"/>
      <c r="Q950" s="306"/>
      <c r="R950" s="306"/>
      <c r="S950" s="306"/>
      <c r="T950" s="306"/>
      <c r="U950" s="306"/>
      <c r="V950" s="306"/>
      <c r="W950" s="306"/>
      <c r="X950" s="306"/>
      <c r="Y950" s="306"/>
      <c r="Z950" s="306"/>
    </row>
    <row r="951" spans="1:26" x14ac:dyDescent="0.35">
      <c r="A951" s="306"/>
      <c r="B951" s="306"/>
      <c r="C951" s="306"/>
      <c r="D951" s="306"/>
      <c r="E951" s="306"/>
      <c r="F951" s="306"/>
      <c r="G951" s="306"/>
      <c r="H951" s="306"/>
      <c r="I951" s="306"/>
      <c r="J951" s="306"/>
      <c r="K951" s="306"/>
      <c r="L951" s="306"/>
      <c r="M951" s="306"/>
      <c r="N951" s="306"/>
      <c r="O951" s="306"/>
      <c r="P951" s="306"/>
      <c r="Q951" s="306"/>
      <c r="R951" s="306"/>
      <c r="S951" s="306"/>
      <c r="T951" s="306"/>
      <c r="U951" s="306"/>
      <c r="V951" s="306"/>
      <c r="W951" s="306"/>
      <c r="X951" s="306"/>
      <c r="Y951" s="306"/>
      <c r="Z951" s="306"/>
    </row>
    <row r="952" spans="1:26" x14ac:dyDescent="0.35">
      <c r="A952" s="306"/>
      <c r="B952" s="306"/>
      <c r="C952" s="306"/>
      <c r="D952" s="306"/>
      <c r="E952" s="306"/>
      <c r="F952" s="306"/>
      <c r="G952" s="306"/>
      <c r="H952" s="306"/>
      <c r="I952" s="306"/>
      <c r="J952" s="306"/>
      <c r="K952" s="306"/>
      <c r="L952" s="306"/>
      <c r="M952" s="306"/>
      <c r="N952" s="306"/>
      <c r="O952" s="306"/>
      <c r="P952" s="306"/>
      <c r="Q952" s="306"/>
      <c r="R952" s="306"/>
      <c r="S952" s="306"/>
      <c r="T952" s="306"/>
      <c r="U952" s="306"/>
      <c r="V952" s="306"/>
      <c r="W952" s="306"/>
      <c r="X952" s="306"/>
      <c r="Y952" s="306"/>
      <c r="Z952" s="306"/>
    </row>
    <row r="953" spans="1:26" x14ac:dyDescent="0.35">
      <c r="A953" s="306"/>
      <c r="B953" s="306"/>
      <c r="C953" s="306"/>
      <c r="D953" s="306"/>
      <c r="E953" s="306"/>
      <c r="F953" s="306"/>
      <c r="G953" s="306"/>
      <c r="H953" s="306"/>
      <c r="I953" s="306"/>
      <c r="J953" s="306"/>
      <c r="K953" s="306"/>
      <c r="L953" s="306"/>
      <c r="M953" s="306"/>
      <c r="N953" s="306"/>
      <c r="O953" s="306"/>
      <c r="P953" s="306"/>
      <c r="Q953" s="306"/>
      <c r="R953" s="306"/>
      <c r="S953" s="306"/>
      <c r="T953" s="306"/>
      <c r="U953" s="306"/>
      <c r="V953" s="306"/>
      <c r="W953" s="306"/>
      <c r="X953" s="306"/>
      <c r="Y953" s="306"/>
      <c r="Z953" s="306"/>
    </row>
    <row r="954" spans="1:26" x14ac:dyDescent="0.35">
      <c r="A954" s="306"/>
      <c r="B954" s="306"/>
      <c r="C954" s="306"/>
      <c r="D954" s="306"/>
      <c r="E954" s="306"/>
      <c r="F954" s="306"/>
      <c r="G954" s="306"/>
      <c r="H954" s="306"/>
      <c r="I954" s="306"/>
      <c r="J954" s="306"/>
      <c r="K954" s="306"/>
      <c r="L954" s="306"/>
      <c r="M954" s="306"/>
      <c r="N954" s="306"/>
      <c r="O954" s="306"/>
      <c r="P954" s="306"/>
      <c r="Q954" s="306"/>
      <c r="R954" s="306"/>
      <c r="S954" s="306"/>
      <c r="T954" s="306"/>
      <c r="U954" s="306"/>
      <c r="V954" s="306"/>
      <c r="W954" s="306"/>
      <c r="X954" s="306"/>
      <c r="Y954" s="306"/>
      <c r="Z954" s="306"/>
    </row>
    <row r="955" spans="1:26" x14ac:dyDescent="0.35">
      <c r="A955" s="306"/>
      <c r="B955" s="306"/>
      <c r="C955" s="306"/>
      <c r="D955" s="306"/>
      <c r="E955" s="306"/>
      <c r="F955" s="306"/>
      <c r="G955" s="306"/>
      <c r="H955" s="306"/>
      <c r="I955" s="306"/>
      <c r="J955" s="306"/>
      <c r="K955" s="306"/>
      <c r="L955" s="306"/>
      <c r="M955" s="306"/>
      <c r="N955" s="306"/>
      <c r="O955" s="306"/>
      <c r="P955" s="306"/>
      <c r="Q955" s="306"/>
      <c r="R955" s="306"/>
      <c r="S955" s="306"/>
      <c r="T955" s="306"/>
      <c r="U955" s="306"/>
      <c r="V955" s="306"/>
      <c r="W955" s="306"/>
      <c r="X955" s="306"/>
      <c r="Y955" s="306"/>
      <c r="Z955" s="306"/>
    </row>
    <row r="956" spans="1:26" x14ac:dyDescent="0.35">
      <c r="A956" s="306"/>
      <c r="B956" s="306"/>
      <c r="C956" s="306"/>
      <c r="D956" s="306"/>
      <c r="E956" s="306"/>
      <c r="F956" s="306"/>
      <c r="G956" s="306"/>
      <c r="H956" s="306"/>
      <c r="I956" s="306"/>
      <c r="J956" s="306"/>
      <c r="K956" s="306"/>
      <c r="L956" s="306"/>
      <c r="M956" s="306"/>
      <c r="N956" s="306"/>
      <c r="O956" s="306"/>
      <c r="P956" s="306"/>
      <c r="Q956" s="306"/>
      <c r="R956" s="306"/>
      <c r="S956" s="306"/>
      <c r="T956" s="306"/>
      <c r="U956" s="306"/>
      <c r="V956" s="306"/>
      <c r="W956" s="306"/>
      <c r="X956" s="306"/>
      <c r="Y956" s="306"/>
      <c r="Z956" s="306"/>
    </row>
    <row r="957" spans="1:26" x14ac:dyDescent="0.35">
      <c r="A957" s="306"/>
      <c r="B957" s="306"/>
      <c r="C957" s="306"/>
      <c r="D957" s="306"/>
      <c r="E957" s="306"/>
      <c r="F957" s="306"/>
      <c r="G957" s="306"/>
      <c r="H957" s="306"/>
      <c r="I957" s="306"/>
      <c r="J957" s="306"/>
      <c r="K957" s="306"/>
      <c r="L957" s="306"/>
      <c r="M957" s="306"/>
      <c r="N957" s="306"/>
      <c r="O957" s="306"/>
      <c r="P957" s="306"/>
      <c r="Q957" s="306"/>
      <c r="R957" s="306"/>
      <c r="S957" s="306"/>
      <c r="T957" s="306"/>
      <c r="U957" s="306"/>
      <c r="V957" s="306"/>
      <c r="W957" s="306"/>
      <c r="X957" s="306"/>
      <c r="Y957" s="306"/>
      <c r="Z957" s="306"/>
    </row>
    <row r="958" spans="1:26" x14ac:dyDescent="0.35">
      <c r="A958" s="306"/>
      <c r="B958" s="306"/>
      <c r="C958" s="306"/>
      <c r="D958" s="306"/>
      <c r="E958" s="306"/>
      <c r="F958" s="306"/>
      <c r="G958" s="306"/>
      <c r="H958" s="306"/>
      <c r="I958" s="306"/>
      <c r="J958" s="306"/>
      <c r="K958" s="306"/>
      <c r="L958" s="306"/>
      <c r="M958" s="306"/>
      <c r="N958" s="306"/>
      <c r="O958" s="306"/>
      <c r="P958" s="306"/>
      <c r="Q958" s="306"/>
      <c r="R958" s="306"/>
      <c r="S958" s="306"/>
      <c r="T958" s="306"/>
      <c r="U958" s="306"/>
      <c r="V958" s="306"/>
      <c r="W958" s="306"/>
      <c r="X958" s="306"/>
      <c r="Y958" s="306"/>
      <c r="Z958" s="306"/>
    </row>
    <row r="959" spans="1:26" x14ac:dyDescent="0.35">
      <c r="A959" s="306"/>
      <c r="B959" s="306"/>
      <c r="C959" s="306"/>
      <c r="D959" s="306"/>
      <c r="E959" s="306"/>
      <c r="F959" s="306"/>
      <c r="G959" s="306"/>
      <c r="H959" s="306"/>
      <c r="I959" s="306"/>
      <c r="J959" s="306"/>
      <c r="K959" s="306"/>
      <c r="L959" s="306"/>
      <c r="M959" s="306"/>
      <c r="N959" s="306"/>
      <c r="O959" s="306"/>
      <c r="P959" s="306"/>
      <c r="Q959" s="306"/>
      <c r="R959" s="306"/>
      <c r="S959" s="306"/>
      <c r="T959" s="306"/>
      <c r="U959" s="306"/>
      <c r="V959" s="306"/>
      <c r="W959" s="306"/>
      <c r="X959" s="306"/>
      <c r="Y959" s="306"/>
      <c r="Z959" s="306"/>
    </row>
    <row r="960" spans="1:26" x14ac:dyDescent="0.35">
      <c r="A960" s="306"/>
      <c r="B960" s="306"/>
      <c r="C960" s="306"/>
      <c r="D960" s="306"/>
      <c r="E960" s="306"/>
      <c r="F960" s="306"/>
      <c r="G960" s="306"/>
      <c r="H960" s="306"/>
      <c r="I960" s="306"/>
      <c r="J960" s="306"/>
      <c r="K960" s="306"/>
      <c r="L960" s="306"/>
      <c r="M960" s="306"/>
      <c r="N960" s="306"/>
      <c r="O960" s="306"/>
      <c r="P960" s="306"/>
      <c r="Q960" s="306"/>
      <c r="R960" s="306"/>
      <c r="S960" s="306"/>
      <c r="T960" s="306"/>
      <c r="U960" s="306"/>
      <c r="V960" s="306"/>
      <c r="W960" s="306"/>
      <c r="X960" s="306"/>
      <c r="Y960" s="306"/>
      <c r="Z960" s="306"/>
    </row>
    <row r="961" spans="1:26" x14ac:dyDescent="0.35">
      <c r="A961" s="306"/>
      <c r="B961" s="306"/>
      <c r="C961" s="306"/>
      <c r="D961" s="306"/>
      <c r="E961" s="306"/>
      <c r="F961" s="306"/>
      <c r="G961" s="306"/>
      <c r="H961" s="306"/>
      <c r="I961" s="306"/>
      <c r="J961" s="306"/>
      <c r="K961" s="306"/>
      <c r="L961" s="306"/>
      <c r="M961" s="306"/>
      <c r="N961" s="306"/>
      <c r="O961" s="306"/>
      <c r="P961" s="306"/>
      <c r="Q961" s="306"/>
      <c r="R961" s="306"/>
      <c r="S961" s="306"/>
      <c r="T961" s="306"/>
      <c r="U961" s="306"/>
      <c r="V961" s="306"/>
      <c r="W961" s="306"/>
      <c r="X961" s="306"/>
      <c r="Y961" s="306"/>
      <c r="Z961" s="306"/>
    </row>
    <row r="962" spans="1:26" x14ac:dyDescent="0.35">
      <c r="A962" s="306"/>
      <c r="B962" s="306"/>
      <c r="C962" s="306"/>
      <c r="D962" s="306"/>
      <c r="E962" s="306"/>
      <c r="F962" s="306"/>
      <c r="G962" s="306"/>
      <c r="H962" s="306"/>
      <c r="I962" s="306"/>
      <c r="J962" s="306"/>
      <c r="K962" s="306"/>
      <c r="L962" s="306"/>
      <c r="M962" s="306"/>
      <c r="N962" s="306"/>
      <c r="O962" s="306"/>
      <c r="P962" s="306"/>
      <c r="Q962" s="306"/>
      <c r="R962" s="306"/>
      <c r="S962" s="306"/>
      <c r="T962" s="306"/>
      <c r="U962" s="306"/>
      <c r="V962" s="306"/>
      <c r="W962" s="306"/>
      <c r="X962" s="306"/>
      <c r="Y962" s="306"/>
      <c r="Z962" s="306"/>
    </row>
    <row r="963" spans="1:26" x14ac:dyDescent="0.35">
      <c r="A963" s="306"/>
      <c r="B963" s="306"/>
      <c r="C963" s="306"/>
      <c r="D963" s="306"/>
      <c r="E963" s="306"/>
      <c r="F963" s="306"/>
      <c r="G963" s="306"/>
      <c r="H963" s="306"/>
      <c r="I963" s="306"/>
      <c r="J963" s="306"/>
      <c r="K963" s="306"/>
      <c r="L963" s="306"/>
      <c r="M963" s="306"/>
      <c r="N963" s="306"/>
      <c r="O963" s="306"/>
      <c r="P963" s="306"/>
      <c r="Q963" s="306"/>
      <c r="R963" s="306"/>
      <c r="S963" s="306"/>
      <c r="T963" s="306"/>
      <c r="U963" s="306"/>
      <c r="V963" s="306"/>
      <c r="W963" s="306"/>
      <c r="X963" s="306"/>
      <c r="Y963" s="306"/>
      <c r="Z963" s="306"/>
    </row>
    <row r="964" spans="1:26" x14ac:dyDescent="0.35">
      <c r="A964" s="306"/>
      <c r="B964" s="306"/>
      <c r="C964" s="306"/>
      <c r="D964" s="306"/>
      <c r="E964" s="306"/>
      <c r="F964" s="306"/>
      <c r="G964" s="306"/>
      <c r="H964" s="306"/>
      <c r="I964" s="306"/>
      <c r="J964" s="306"/>
      <c r="K964" s="306"/>
      <c r="L964" s="306"/>
      <c r="M964" s="306"/>
      <c r="N964" s="306"/>
      <c r="O964" s="306"/>
      <c r="P964" s="306"/>
      <c r="Q964" s="306"/>
      <c r="R964" s="306"/>
      <c r="S964" s="306"/>
      <c r="T964" s="306"/>
      <c r="U964" s="306"/>
      <c r="V964" s="306"/>
      <c r="W964" s="306"/>
      <c r="X964" s="306"/>
      <c r="Y964" s="306"/>
      <c r="Z964" s="306"/>
    </row>
    <row r="965" spans="1:26" x14ac:dyDescent="0.35">
      <c r="A965" s="306"/>
      <c r="B965" s="306"/>
      <c r="C965" s="306"/>
      <c r="D965" s="306"/>
      <c r="E965" s="306"/>
      <c r="F965" s="306"/>
      <c r="G965" s="306"/>
      <c r="H965" s="306"/>
      <c r="I965" s="306"/>
      <c r="J965" s="306"/>
      <c r="K965" s="306"/>
      <c r="L965" s="306"/>
      <c r="M965" s="306"/>
      <c r="N965" s="306"/>
      <c r="O965" s="306"/>
      <c r="P965" s="306"/>
      <c r="Q965" s="306"/>
      <c r="R965" s="306"/>
      <c r="S965" s="306"/>
      <c r="T965" s="306"/>
      <c r="U965" s="306"/>
      <c r="V965" s="306"/>
      <c r="W965" s="306"/>
      <c r="X965" s="306"/>
      <c r="Y965" s="306"/>
      <c r="Z965" s="306"/>
    </row>
    <row r="966" spans="1:26" x14ac:dyDescent="0.35">
      <c r="A966" s="306"/>
      <c r="B966" s="306"/>
      <c r="C966" s="306"/>
      <c r="D966" s="306"/>
      <c r="E966" s="306"/>
      <c r="F966" s="306"/>
      <c r="G966" s="306"/>
      <c r="H966" s="306"/>
      <c r="I966" s="306"/>
      <c r="J966" s="306"/>
      <c r="K966" s="306"/>
      <c r="L966" s="306"/>
      <c r="M966" s="306"/>
      <c r="N966" s="306"/>
      <c r="O966" s="306"/>
      <c r="P966" s="306"/>
      <c r="Q966" s="306"/>
      <c r="R966" s="306"/>
      <c r="S966" s="306"/>
      <c r="T966" s="306"/>
      <c r="U966" s="306"/>
      <c r="V966" s="306"/>
      <c r="W966" s="306"/>
      <c r="X966" s="306"/>
      <c r="Y966" s="306"/>
      <c r="Z966" s="306"/>
    </row>
    <row r="967" spans="1:26" x14ac:dyDescent="0.35">
      <c r="A967" s="306"/>
      <c r="B967" s="306"/>
      <c r="C967" s="306"/>
      <c r="D967" s="306"/>
      <c r="E967" s="306"/>
      <c r="F967" s="306"/>
      <c r="G967" s="306"/>
      <c r="H967" s="306"/>
      <c r="I967" s="306"/>
      <c r="J967" s="306"/>
      <c r="K967" s="306"/>
      <c r="L967" s="306"/>
      <c r="M967" s="306"/>
      <c r="N967" s="306"/>
      <c r="O967" s="306"/>
      <c r="P967" s="306"/>
      <c r="Q967" s="306"/>
      <c r="R967" s="306"/>
      <c r="S967" s="306"/>
      <c r="T967" s="306"/>
      <c r="U967" s="306"/>
      <c r="V967" s="306"/>
      <c r="W967" s="306"/>
      <c r="X967" s="306"/>
      <c r="Y967" s="306"/>
      <c r="Z967" s="306"/>
    </row>
    <row r="968" spans="1:26" x14ac:dyDescent="0.35">
      <c r="A968" s="306"/>
      <c r="B968" s="306"/>
      <c r="C968" s="306"/>
      <c r="D968" s="306"/>
      <c r="E968" s="306"/>
      <c r="F968" s="306"/>
      <c r="G968" s="306"/>
      <c r="H968" s="306"/>
      <c r="I968" s="306"/>
      <c r="J968" s="306"/>
      <c r="K968" s="306"/>
      <c r="L968" s="306"/>
      <c r="M968" s="306"/>
      <c r="N968" s="306"/>
      <c r="O968" s="306"/>
      <c r="P968" s="306"/>
      <c r="Q968" s="306"/>
      <c r="R968" s="306"/>
      <c r="S968" s="306"/>
      <c r="T968" s="306"/>
      <c r="U968" s="306"/>
      <c r="V968" s="306"/>
      <c r="W968" s="306"/>
      <c r="X968" s="306"/>
      <c r="Y968" s="306"/>
      <c r="Z968" s="306"/>
    </row>
    <row r="969" spans="1:26" x14ac:dyDescent="0.35">
      <c r="A969" s="306"/>
      <c r="B969" s="306"/>
      <c r="C969" s="306"/>
      <c r="D969" s="306"/>
      <c r="E969" s="306"/>
      <c r="F969" s="306"/>
      <c r="G969" s="306"/>
      <c r="H969" s="306"/>
      <c r="I969" s="306"/>
      <c r="J969" s="306"/>
      <c r="K969" s="306"/>
      <c r="L969" s="306"/>
      <c r="M969" s="306"/>
      <c r="N969" s="306"/>
      <c r="O969" s="306"/>
      <c r="P969" s="306"/>
      <c r="Q969" s="306"/>
      <c r="R969" s="306"/>
      <c r="S969" s="306"/>
      <c r="T969" s="306"/>
      <c r="U969" s="306"/>
      <c r="V969" s="306"/>
      <c r="W969" s="306"/>
      <c r="X969" s="306"/>
      <c r="Y969" s="306"/>
      <c r="Z969" s="306"/>
    </row>
    <row r="970" spans="1:26" x14ac:dyDescent="0.35">
      <c r="A970" s="306"/>
      <c r="B970" s="306"/>
      <c r="C970" s="306"/>
      <c r="D970" s="306"/>
      <c r="E970" s="306"/>
      <c r="F970" s="306"/>
      <c r="G970" s="306"/>
      <c r="H970" s="306"/>
      <c r="I970" s="306"/>
      <c r="J970" s="306"/>
      <c r="K970" s="306"/>
      <c r="L970" s="306"/>
      <c r="M970" s="306"/>
      <c r="N970" s="306"/>
      <c r="O970" s="306"/>
      <c r="P970" s="306"/>
      <c r="Q970" s="306"/>
      <c r="R970" s="306"/>
      <c r="S970" s="306"/>
      <c r="T970" s="306"/>
      <c r="U970" s="306"/>
      <c r="V970" s="306"/>
      <c r="W970" s="306"/>
      <c r="X970" s="306"/>
      <c r="Y970" s="306"/>
      <c r="Z970" s="306"/>
    </row>
    <row r="971" spans="1:26" x14ac:dyDescent="0.35">
      <c r="A971" s="306"/>
      <c r="B971" s="306"/>
      <c r="C971" s="306"/>
      <c r="D971" s="306"/>
      <c r="E971" s="306"/>
      <c r="F971" s="306"/>
      <c r="G971" s="306"/>
      <c r="H971" s="306"/>
      <c r="I971" s="306"/>
      <c r="J971" s="306"/>
      <c r="K971" s="306"/>
      <c r="L971" s="306"/>
      <c r="M971" s="306"/>
      <c r="N971" s="306"/>
      <c r="O971" s="306"/>
      <c r="P971" s="306"/>
      <c r="Q971" s="306"/>
      <c r="R971" s="306"/>
      <c r="S971" s="306"/>
      <c r="T971" s="306"/>
      <c r="U971" s="306"/>
      <c r="V971" s="306"/>
      <c r="W971" s="306"/>
      <c r="X971" s="306"/>
      <c r="Y971" s="306"/>
      <c r="Z971" s="306"/>
    </row>
    <row r="972" spans="1:26" x14ac:dyDescent="0.35">
      <c r="A972" s="306"/>
      <c r="B972" s="306"/>
      <c r="C972" s="306"/>
      <c r="D972" s="306"/>
      <c r="E972" s="306"/>
      <c r="F972" s="306"/>
      <c r="G972" s="306"/>
      <c r="H972" s="306"/>
      <c r="I972" s="306"/>
      <c r="J972" s="306"/>
      <c r="K972" s="306"/>
      <c r="L972" s="306"/>
      <c r="M972" s="306"/>
      <c r="N972" s="306"/>
      <c r="O972" s="306"/>
      <c r="P972" s="306"/>
      <c r="Q972" s="306"/>
      <c r="R972" s="306"/>
      <c r="S972" s="306"/>
      <c r="T972" s="306"/>
      <c r="U972" s="306"/>
      <c r="V972" s="306"/>
      <c r="W972" s="306"/>
      <c r="X972" s="306"/>
      <c r="Y972" s="306"/>
      <c r="Z972" s="306"/>
    </row>
    <row r="973" spans="1:26" x14ac:dyDescent="0.35">
      <c r="A973" s="306"/>
      <c r="B973" s="306"/>
      <c r="C973" s="306"/>
      <c r="D973" s="306"/>
      <c r="E973" s="306"/>
      <c r="F973" s="306"/>
      <c r="G973" s="306"/>
      <c r="H973" s="306"/>
      <c r="I973" s="306"/>
      <c r="J973" s="306"/>
      <c r="K973" s="306"/>
      <c r="L973" s="306"/>
      <c r="M973" s="306"/>
      <c r="N973" s="306"/>
      <c r="O973" s="306"/>
      <c r="P973" s="306"/>
      <c r="Q973" s="306"/>
      <c r="R973" s="306"/>
      <c r="S973" s="306"/>
      <c r="T973" s="306"/>
      <c r="U973" s="306"/>
      <c r="V973" s="306"/>
      <c r="W973" s="306"/>
      <c r="X973" s="306"/>
      <c r="Y973" s="306"/>
      <c r="Z973" s="306"/>
    </row>
    <row r="974" spans="1:26" x14ac:dyDescent="0.35">
      <c r="A974" s="306"/>
      <c r="B974" s="306"/>
      <c r="C974" s="306"/>
      <c r="D974" s="306"/>
      <c r="E974" s="306"/>
      <c r="F974" s="306"/>
      <c r="G974" s="306"/>
      <c r="H974" s="306"/>
      <c r="I974" s="306"/>
      <c r="J974" s="306"/>
      <c r="K974" s="306"/>
      <c r="L974" s="306"/>
      <c r="M974" s="306"/>
      <c r="N974" s="306"/>
      <c r="O974" s="306"/>
      <c r="P974" s="306"/>
      <c r="Q974" s="306"/>
      <c r="R974" s="306"/>
      <c r="S974" s="306"/>
      <c r="T974" s="306"/>
      <c r="U974" s="306"/>
      <c r="V974" s="306"/>
      <c r="W974" s="306"/>
      <c r="X974" s="306"/>
      <c r="Y974" s="306"/>
      <c r="Z974" s="306"/>
    </row>
    <row r="975" spans="1:26" x14ac:dyDescent="0.35">
      <c r="A975" s="306"/>
      <c r="B975" s="306"/>
      <c r="C975" s="306"/>
      <c r="D975" s="306"/>
      <c r="E975" s="306"/>
      <c r="F975" s="306"/>
      <c r="G975" s="306"/>
      <c r="H975" s="306"/>
      <c r="I975" s="306"/>
      <c r="J975" s="306"/>
      <c r="K975" s="306"/>
      <c r="L975" s="306"/>
      <c r="M975" s="306"/>
      <c r="N975" s="306"/>
      <c r="O975" s="306"/>
      <c r="P975" s="306"/>
      <c r="Q975" s="306"/>
      <c r="R975" s="306"/>
      <c r="S975" s="306"/>
      <c r="T975" s="306"/>
      <c r="U975" s="306"/>
      <c r="V975" s="306"/>
      <c r="W975" s="306"/>
      <c r="X975" s="306"/>
      <c r="Y975" s="306"/>
      <c r="Z975" s="306"/>
    </row>
    <row r="976" spans="1:26" x14ac:dyDescent="0.35">
      <c r="A976" s="306"/>
      <c r="B976" s="306"/>
      <c r="C976" s="306"/>
      <c r="D976" s="306"/>
      <c r="E976" s="306"/>
      <c r="F976" s="306"/>
      <c r="G976" s="306"/>
      <c r="H976" s="306"/>
      <c r="I976" s="306"/>
      <c r="J976" s="306"/>
      <c r="K976" s="306"/>
      <c r="L976" s="306"/>
      <c r="M976" s="306"/>
      <c r="N976" s="306"/>
      <c r="O976" s="306"/>
      <c r="P976" s="306"/>
      <c r="Q976" s="306"/>
      <c r="R976" s="306"/>
      <c r="S976" s="306"/>
      <c r="T976" s="306"/>
      <c r="U976" s="306"/>
      <c r="V976" s="306"/>
      <c r="W976" s="306"/>
      <c r="X976" s="306"/>
      <c r="Y976" s="306"/>
      <c r="Z976" s="306"/>
    </row>
    <row r="977" spans="1:26" x14ac:dyDescent="0.35">
      <c r="A977" s="306"/>
      <c r="B977" s="306"/>
      <c r="C977" s="306"/>
      <c r="D977" s="306"/>
      <c r="E977" s="306"/>
      <c r="F977" s="306"/>
      <c r="G977" s="306"/>
      <c r="H977" s="306"/>
      <c r="I977" s="306"/>
      <c r="J977" s="306"/>
      <c r="K977" s="306"/>
      <c r="L977" s="306"/>
      <c r="M977" s="306"/>
      <c r="N977" s="306"/>
      <c r="O977" s="306"/>
      <c r="P977" s="306"/>
      <c r="Q977" s="306"/>
      <c r="R977" s="306"/>
      <c r="S977" s="306"/>
      <c r="T977" s="306"/>
      <c r="U977" s="306"/>
      <c r="V977" s="306"/>
      <c r="W977" s="306"/>
      <c r="X977" s="306"/>
      <c r="Y977" s="306"/>
      <c r="Z977" s="306"/>
    </row>
    <row r="978" spans="1:26" x14ac:dyDescent="0.35">
      <c r="A978" s="306"/>
      <c r="B978" s="306"/>
      <c r="C978" s="306"/>
      <c r="D978" s="306"/>
      <c r="E978" s="306"/>
      <c r="F978" s="306"/>
      <c r="G978" s="306"/>
      <c r="H978" s="306"/>
      <c r="I978" s="306"/>
      <c r="J978" s="306"/>
      <c r="K978" s="306"/>
      <c r="L978" s="306"/>
      <c r="M978" s="306"/>
      <c r="N978" s="306"/>
      <c r="O978" s="306"/>
      <c r="P978" s="306"/>
      <c r="Q978" s="306"/>
      <c r="R978" s="306"/>
      <c r="S978" s="306"/>
      <c r="T978" s="306"/>
      <c r="U978" s="306"/>
      <c r="V978" s="306"/>
      <c r="W978" s="306"/>
      <c r="X978" s="306"/>
      <c r="Y978" s="306"/>
      <c r="Z978" s="306"/>
    </row>
    <row r="979" spans="1:26" x14ac:dyDescent="0.35">
      <c r="A979" s="306"/>
      <c r="B979" s="306"/>
      <c r="C979" s="306"/>
      <c r="D979" s="306"/>
      <c r="E979" s="306"/>
      <c r="F979" s="306"/>
      <c r="G979" s="306"/>
      <c r="H979" s="306"/>
      <c r="I979" s="306"/>
      <c r="J979" s="306"/>
      <c r="K979" s="306"/>
      <c r="L979" s="306"/>
      <c r="M979" s="306"/>
      <c r="N979" s="306"/>
      <c r="O979" s="306"/>
      <c r="P979" s="306"/>
      <c r="Q979" s="306"/>
      <c r="R979" s="306"/>
      <c r="S979" s="306"/>
      <c r="T979" s="306"/>
      <c r="U979" s="306"/>
      <c r="V979" s="306"/>
      <c r="W979" s="306"/>
      <c r="X979" s="306"/>
      <c r="Y979" s="306"/>
      <c r="Z979" s="306"/>
    </row>
    <row r="980" spans="1:26" x14ac:dyDescent="0.35">
      <c r="A980" s="306"/>
      <c r="B980" s="306"/>
      <c r="C980" s="306"/>
      <c r="D980" s="306"/>
      <c r="E980" s="306"/>
      <c r="F980" s="306"/>
      <c r="G980" s="306"/>
      <c r="H980" s="306"/>
      <c r="I980" s="306"/>
      <c r="J980" s="306"/>
      <c r="K980" s="306"/>
      <c r="L980" s="306"/>
      <c r="M980" s="306"/>
      <c r="N980" s="306"/>
      <c r="O980" s="306"/>
      <c r="P980" s="306"/>
      <c r="Q980" s="306"/>
      <c r="R980" s="306"/>
      <c r="S980" s="306"/>
      <c r="T980" s="306"/>
      <c r="U980" s="306"/>
      <c r="V980" s="306"/>
      <c r="W980" s="306"/>
      <c r="X980" s="306"/>
      <c r="Y980" s="306"/>
      <c r="Z980" s="306"/>
    </row>
    <row r="981" spans="1:26" x14ac:dyDescent="0.35">
      <c r="A981" s="306"/>
      <c r="B981" s="306"/>
      <c r="C981" s="306"/>
      <c r="D981" s="306"/>
      <c r="E981" s="306"/>
      <c r="F981" s="306"/>
      <c r="G981" s="306"/>
      <c r="H981" s="306"/>
      <c r="I981" s="306"/>
      <c r="J981" s="306"/>
      <c r="K981" s="306"/>
      <c r="L981" s="306"/>
      <c r="M981" s="306"/>
      <c r="N981" s="306"/>
      <c r="O981" s="306"/>
      <c r="P981" s="306"/>
      <c r="Q981" s="306"/>
      <c r="R981" s="306"/>
      <c r="S981" s="306"/>
      <c r="T981" s="306"/>
      <c r="U981" s="306"/>
      <c r="V981" s="306"/>
      <c r="W981" s="306"/>
      <c r="X981" s="306"/>
      <c r="Y981" s="306"/>
      <c r="Z981" s="306"/>
    </row>
    <row r="982" spans="1:26" x14ac:dyDescent="0.35">
      <c r="A982" s="306"/>
      <c r="B982" s="306"/>
      <c r="C982" s="306"/>
      <c r="D982" s="306"/>
      <c r="E982" s="306"/>
      <c r="F982" s="306"/>
      <c r="G982" s="306"/>
      <c r="H982" s="306"/>
      <c r="I982" s="306"/>
      <c r="J982" s="306"/>
      <c r="K982" s="306"/>
      <c r="L982" s="306"/>
      <c r="M982" s="306"/>
      <c r="N982" s="306"/>
      <c r="O982" s="306"/>
      <c r="P982" s="306"/>
      <c r="Q982" s="306"/>
      <c r="R982" s="306"/>
      <c r="S982" s="306"/>
      <c r="T982" s="306"/>
      <c r="U982" s="306"/>
      <c r="V982" s="306"/>
      <c r="W982" s="306"/>
      <c r="X982" s="306"/>
      <c r="Y982" s="306"/>
      <c r="Z982" s="306"/>
    </row>
    <row r="983" spans="1:26" x14ac:dyDescent="0.35">
      <c r="A983" s="306"/>
      <c r="B983" s="306"/>
      <c r="C983" s="306"/>
      <c r="D983" s="306"/>
      <c r="E983" s="306"/>
      <c r="F983" s="306"/>
      <c r="G983" s="306"/>
      <c r="H983" s="306"/>
      <c r="I983" s="306"/>
      <c r="J983" s="306"/>
      <c r="K983" s="306"/>
      <c r="L983" s="306"/>
      <c r="M983" s="306"/>
      <c r="N983" s="306"/>
      <c r="O983" s="306"/>
      <c r="P983" s="306"/>
      <c r="Q983" s="306"/>
      <c r="R983" s="306"/>
      <c r="S983" s="306"/>
      <c r="T983" s="306"/>
      <c r="U983" s="306"/>
      <c r="V983" s="306"/>
      <c r="W983" s="306"/>
      <c r="X983" s="306"/>
      <c r="Y983" s="306"/>
      <c r="Z983" s="306"/>
    </row>
    <row r="984" spans="1:26" x14ac:dyDescent="0.35">
      <c r="A984" s="306"/>
      <c r="B984" s="306"/>
      <c r="C984" s="306"/>
      <c r="D984" s="306"/>
      <c r="E984" s="306"/>
      <c r="F984" s="306"/>
      <c r="G984" s="306"/>
      <c r="H984" s="306"/>
      <c r="I984" s="306"/>
      <c r="J984" s="306"/>
      <c r="K984" s="306"/>
      <c r="L984" s="306"/>
      <c r="M984" s="306"/>
      <c r="N984" s="306"/>
      <c r="O984" s="306"/>
      <c r="P984" s="306"/>
      <c r="Q984" s="306"/>
      <c r="R984" s="306"/>
      <c r="S984" s="306"/>
      <c r="T984" s="306"/>
      <c r="U984" s="306"/>
      <c r="V984" s="306"/>
      <c r="W984" s="306"/>
      <c r="X984" s="306"/>
      <c r="Y984" s="306"/>
      <c r="Z984" s="306"/>
    </row>
    <row r="985" spans="1:26" x14ac:dyDescent="0.35">
      <c r="A985" s="306"/>
      <c r="B985" s="306"/>
      <c r="C985" s="306"/>
      <c r="D985" s="306"/>
      <c r="E985" s="306"/>
      <c r="F985" s="306"/>
      <c r="G985" s="306"/>
      <c r="H985" s="306"/>
      <c r="I985" s="306"/>
      <c r="J985" s="306"/>
      <c r="K985" s="306"/>
      <c r="L985" s="306"/>
      <c r="M985" s="306"/>
      <c r="N985" s="306"/>
      <c r="O985" s="306"/>
      <c r="P985" s="306"/>
      <c r="Q985" s="306"/>
      <c r="R985" s="306"/>
      <c r="S985" s="306"/>
      <c r="T985" s="306"/>
      <c r="U985" s="306"/>
      <c r="V985" s="306"/>
      <c r="W985" s="306"/>
      <c r="X985" s="306"/>
      <c r="Y985" s="306"/>
      <c r="Z985" s="306"/>
    </row>
    <row r="986" spans="1:26" x14ac:dyDescent="0.35">
      <c r="A986" s="306"/>
      <c r="B986" s="306"/>
      <c r="C986" s="306"/>
      <c r="D986" s="306"/>
      <c r="E986" s="306"/>
      <c r="F986" s="306"/>
      <c r="G986" s="306"/>
      <c r="H986" s="306"/>
      <c r="I986" s="306"/>
      <c r="J986" s="306"/>
      <c r="K986" s="306"/>
      <c r="L986" s="306"/>
      <c r="M986" s="306"/>
      <c r="N986" s="306"/>
      <c r="O986" s="306"/>
      <c r="P986" s="306"/>
      <c r="Q986" s="306"/>
      <c r="R986" s="306"/>
      <c r="S986" s="306"/>
      <c r="T986" s="306"/>
      <c r="U986" s="306"/>
      <c r="V986" s="306"/>
      <c r="W986" s="306"/>
      <c r="X986" s="306"/>
      <c r="Y986" s="306"/>
      <c r="Z986" s="306"/>
    </row>
    <row r="987" spans="1:26" x14ac:dyDescent="0.35">
      <c r="A987" s="306"/>
      <c r="B987" s="306"/>
      <c r="C987" s="306"/>
      <c r="D987" s="306"/>
      <c r="E987" s="306"/>
      <c r="F987" s="306"/>
      <c r="G987" s="306"/>
      <c r="H987" s="306"/>
      <c r="I987" s="306"/>
      <c r="J987" s="306"/>
      <c r="K987" s="306"/>
      <c r="L987" s="306"/>
      <c r="M987" s="306"/>
      <c r="N987" s="306"/>
      <c r="O987" s="306"/>
      <c r="P987" s="306"/>
      <c r="Q987" s="306"/>
      <c r="R987" s="306"/>
      <c r="S987" s="306"/>
      <c r="T987" s="306"/>
      <c r="U987" s="306"/>
      <c r="V987" s="306"/>
      <c r="W987" s="306"/>
      <c r="X987" s="306"/>
      <c r="Y987" s="306"/>
      <c r="Z987" s="306"/>
    </row>
    <row r="988" spans="1:26" x14ac:dyDescent="0.35">
      <c r="A988" s="306"/>
      <c r="B988" s="306"/>
      <c r="C988" s="306"/>
      <c r="D988" s="306"/>
      <c r="E988" s="306"/>
      <c r="F988" s="306"/>
      <c r="G988" s="306"/>
      <c r="H988" s="306"/>
      <c r="I988" s="306"/>
      <c r="J988" s="306"/>
      <c r="K988" s="306"/>
      <c r="L988" s="306"/>
      <c r="M988" s="306"/>
      <c r="N988" s="306"/>
      <c r="O988" s="306"/>
      <c r="P988" s="306"/>
      <c r="Q988" s="306"/>
      <c r="R988" s="306"/>
      <c r="S988" s="306"/>
      <c r="T988" s="306"/>
      <c r="U988" s="306"/>
      <c r="V988" s="306"/>
      <c r="W988" s="306"/>
      <c r="X988" s="306"/>
      <c r="Y988" s="306"/>
      <c r="Z988" s="306"/>
    </row>
    <row r="989" spans="1:26" x14ac:dyDescent="0.35">
      <c r="A989" s="306"/>
      <c r="B989" s="306"/>
      <c r="C989" s="306"/>
      <c r="D989" s="306"/>
      <c r="E989" s="306"/>
      <c r="F989" s="306"/>
      <c r="G989" s="306"/>
      <c r="H989" s="306"/>
      <c r="I989" s="306"/>
      <c r="J989" s="306"/>
      <c r="K989" s="306"/>
      <c r="L989" s="306"/>
      <c r="M989" s="306"/>
      <c r="N989" s="306"/>
      <c r="O989" s="306"/>
      <c r="P989" s="306"/>
      <c r="Q989" s="306"/>
      <c r="R989" s="306"/>
      <c r="S989" s="306"/>
      <c r="T989" s="306"/>
      <c r="U989" s="306"/>
      <c r="V989" s="306"/>
      <c r="W989" s="306"/>
      <c r="X989" s="306"/>
      <c r="Y989" s="306"/>
      <c r="Z989" s="306"/>
    </row>
    <row r="990" spans="1:26" x14ac:dyDescent="0.35">
      <c r="A990" s="306"/>
      <c r="B990" s="306"/>
      <c r="C990" s="306"/>
      <c r="D990" s="306"/>
      <c r="E990" s="306"/>
      <c r="F990" s="306"/>
      <c r="G990" s="306"/>
      <c r="H990" s="306"/>
      <c r="I990" s="306"/>
      <c r="J990" s="306"/>
      <c r="K990" s="306"/>
      <c r="L990" s="306"/>
      <c r="M990" s="306"/>
      <c r="N990" s="306"/>
      <c r="O990" s="306"/>
      <c r="P990" s="306"/>
      <c r="Q990" s="306"/>
      <c r="R990" s="306"/>
      <c r="S990" s="306"/>
      <c r="T990" s="306"/>
      <c r="U990" s="306"/>
      <c r="V990" s="306"/>
      <c r="W990" s="306"/>
      <c r="X990" s="306"/>
      <c r="Y990" s="306"/>
      <c r="Z990" s="306"/>
    </row>
    <row r="991" spans="1:26" x14ac:dyDescent="0.35">
      <c r="A991" s="306"/>
      <c r="B991" s="306"/>
      <c r="C991" s="306"/>
      <c r="D991" s="306"/>
      <c r="E991" s="306"/>
      <c r="F991" s="306"/>
      <c r="G991" s="306"/>
      <c r="H991" s="306"/>
      <c r="I991" s="306"/>
      <c r="J991" s="306"/>
      <c r="K991" s="306"/>
      <c r="L991" s="306"/>
      <c r="M991" s="306"/>
      <c r="N991" s="306"/>
      <c r="O991" s="306"/>
      <c r="P991" s="306"/>
      <c r="Q991" s="306"/>
      <c r="R991" s="306"/>
      <c r="S991" s="306"/>
      <c r="T991" s="306"/>
      <c r="U991" s="306"/>
      <c r="V991" s="306"/>
      <c r="W991" s="306"/>
      <c r="X991" s="306"/>
      <c r="Y991" s="306"/>
      <c r="Z991" s="306"/>
    </row>
    <row r="992" spans="1:26" x14ac:dyDescent="0.35">
      <c r="A992" s="306"/>
      <c r="B992" s="306"/>
      <c r="C992" s="306"/>
      <c r="D992" s="306"/>
      <c r="E992" s="306"/>
      <c r="F992" s="306"/>
      <c r="G992" s="306"/>
      <c r="H992" s="306"/>
      <c r="I992" s="306"/>
      <c r="J992" s="306"/>
      <c r="K992" s="306"/>
      <c r="L992" s="306"/>
      <c r="M992" s="306"/>
      <c r="N992" s="306"/>
      <c r="O992" s="306"/>
      <c r="P992" s="306"/>
      <c r="Q992" s="306"/>
      <c r="R992" s="306"/>
      <c r="S992" s="306"/>
      <c r="T992" s="306"/>
      <c r="U992" s="306"/>
      <c r="V992" s="306"/>
      <c r="W992" s="306"/>
      <c r="X992" s="306"/>
      <c r="Y992" s="306"/>
      <c r="Z992" s="306"/>
    </row>
    <row r="993" spans="1:26" x14ac:dyDescent="0.35">
      <c r="A993" s="306"/>
      <c r="B993" s="306"/>
      <c r="C993" s="306"/>
      <c r="D993" s="306"/>
      <c r="E993" s="306"/>
      <c r="F993" s="306"/>
      <c r="G993" s="306"/>
      <c r="H993" s="306"/>
      <c r="I993" s="306"/>
      <c r="J993" s="306"/>
      <c r="K993" s="306"/>
      <c r="L993" s="306"/>
      <c r="M993" s="306"/>
      <c r="N993" s="306"/>
      <c r="O993" s="306"/>
      <c r="P993" s="306"/>
      <c r="Q993" s="306"/>
      <c r="R993" s="306"/>
      <c r="S993" s="306"/>
      <c r="T993" s="306"/>
      <c r="U993" s="306"/>
      <c r="V993" s="306"/>
      <c r="W993" s="306"/>
      <c r="X993" s="306"/>
      <c r="Y993" s="306"/>
      <c r="Z993" s="306"/>
    </row>
    <row r="994" spans="1:26" x14ac:dyDescent="0.35">
      <c r="A994" s="306"/>
      <c r="B994" s="306"/>
      <c r="C994" s="306"/>
      <c r="D994" s="306"/>
      <c r="E994" s="306"/>
      <c r="F994" s="306"/>
      <c r="G994" s="306"/>
      <c r="H994" s="306"/>
      <c r="I994" s="306"/>
      <c r="J994" s="306"/>
      <c r="K994" s="306"/>
      <c r="L994" s="306"/>
      <c r="M994" s="306"/>
      <c r="N994" s="306"/>
      <c r="O994" s="306"/>
      <c r="P994" s="306"/>
      <c r="Q994" s="306"/>
      <c r="R994" s="306"/>
      <c r="S994" s="306"/>
      <c r="T994" s="306"/>
      <c r="U994" s="306"/>
      <c r="V994" s="306"/>
      <c r="W994" s="306"/>
      <c r="X994" s="306"/>
      <c r="Y994" s="306"/>
      <c r="Z994" s="306"/>
    </row>
    <row r="995" spans="1:26" x14ac:dyDescent="0.35">
      <c r="A995" s="306"/>
      <c r="B995" s="306"/>
      <c r="C995" s="306"/>
      <c r="D995" s="306"/>
      <c r="E995" s="306"/>
      <c r="F995" s="306"/>
      <c r="G995" s="306"/>
      <c r="H995" s="306"/>
      <c r="I995" s="306"/>
      <c r="J995" s="306"/>
      <c r="K995" s="306"/>
      <c r="L995" s="306"/>
      <c r="M995" s="306"/>
      <c r="N995" s="306"/>
      <c r="O995" s="306"/>
      <c r="P995" s="306"/>
      <c r="Q995" s="306"/>
      <c r="R995" s="306"/>
      <c r="S995" s="306"/>
      <c r="T995" s="306"/>
      <c r="U995" s="306"/>
      <c r="V995" s="306"/>
      <c r="W995" s="306"/>
      <c r="X995" s="306"/>
      <c r="Y995" s="306"/>
      <c r="Z995" s="306"/>
    </row>
    <row r="996" spans="1:26" x14ac:dyDescent="0.35">
      <c r="A996" s="306"/>
      <c r="B996" s="306"/>
      <c r="C996" s="306"/>
      <c r="D996" s="306"/>
      <c r="E996" s="306"/>
      <c r="F996" s="306"/>
      <c r="G996" s="306"/>
      <c r="H996" s="306"/>
      <c r="I996" s="306"/>
      <c r="J996" s="306"/>
      <c r="K996" s="306"/>
      <c r="L996" s="306"/>
      <c r="M996" s="306"/>
      <c r="N996" s="306"/>
      <c r="O996" s="306"/>
      <c r="P996" s="306"/>
      <c r="Q996" s="306"/>
      <c r="R996" s="306"/>
      <c r="S996" s="306"/>
      <c r="T996" s="306"/>
      <c r="U996" s="306"/>
      <c r="V996" s="306"/>
      <c r="W996" s="306"/>
      <c r="X996" s="306"/>
      <c r="Y996" s="306"/>
      <c r="Z996" s="306"/>
    </row>
    <row r="997" spans="1:26" x14ac:dyDescent="0.35">
      <c r="A997" s="306"/>
      <c r="B997" s="306"/>
      <c r="C997" s="306"/>
      <c r="D997" s="306"/>
      <c r="E997" s="306"/>
      <c r="F997" s="306"/>
      <c r="G997" s="306"/>
      <c r="H997" s="306"/>
      <c r="I997" s="306"/>
      <c r="J997" s="306"/>
      <c r="K997" s="306"/>
      <c r="L997" s="306"/>
      <c r="M997" s="306"/>
      <c r="N997" s="306"/>
      <c r="O997" s="306"/>
      <c r="P997" s="306"/>
      <c r="Q997" s="306"/>
      <c r="R997" s="306"/>
      <c r="S997" s="306"/>
      <c r="T997" s="306"/>
      <c r="U997" s="306"/>
      <c r="V997" s="306"/>
      <c r="W997" s="306"/>
      <c r="X997" s="306"/>
      <c r="Y997" s="306"/>
      <c r="Z997" s="306"/>
    </row>
    <row r="998" spans="1:26" x14ac:dyDescent="0.35">
      <c r="A998" s="306"/>
      <c r="B998" s="306"/>
      <c r="C998" s="306"/>
      <c r="D998" s="306"/>
      <c r="E998" s="306"/>
      <c r="F998" s="306"/>
      <c r="G998" s="306"/>
      <c r="H998" s="306"/>
      <c r="I998" s="306"/>
      <c r="J998" s="306"/>
      <c r="K998" s="306"/>
      <c r="L998" s="306"/>
      <c r="M998" s="306"/>
      <c r="N998" s="306"/>
      <c r="O998" s="306"/>
      <c r="P998" s="306"/>
      <c r="Q998" s="306"/>
      <c r="R998" s="306"/>
      <c r="S998" s="306"/>
      <c r="T998" s="306"/>
      <c r="U998" s="306"/>
      <c r="V998" s="306"/>
      <c r="W998" s="306"/>
      <c r="X998" s="306"/>
      <c r="Y998" s="306"/>
      <c r="Z998" s="306"/>
    </row>
    <row r="999" spans="1:26" x14ac:dyDescent="0.35">
      <c r="A999" s="306"/>
      <c r="B999" s="306"/>
      <c r="C999" s="306"/>
      <c r="D999" s="306"/>
      <c r="E999" s="306"/>
      <c r="F999" s="306"/>
      <c r="G999" s="306"/>
      <c r="H999" s="306"/>
      <c r="I999" s="306"/>
      <c r="J999" s="306"/>
      <c r="K999" s="306"/>
      <c r="L999" s="306"/>
      <c r="M999" s="306"/>
      <c r="N999" s="306"/>
      <c r="O999" s="306"/>
      <c r="P999" s="306"/>
      <c r="Q999" s="306"/>
      <c r="R999" s="306"/>
      <c r="S999" s="306"/>
      <c r="T999" s="306"/>
      <c r="U999" s="306"/>
      <c r="V999" s="306"/>
      <c r="W999" s="306"/>
      <c r="X999" s="306"/>
      <c r="Y999" s="306"/>
      <c r="Z999" s="306"/>
    </row>
    <row r="1000" spans="1:26" x14ac:dyDescent="0.35">
      <c r="A1000" s="306"/>
      <c r="B1000" s="306"/>
      <c r="C1000" s="306"/>
      <c r="D1000" s="306"/>
      <c r="E1000" s="306"/>
      <c r="F1000" s="306"/>
      <c r="G1000" s="306"/>
      <c r="H1000" s="306"/>
      <c r="I1000" s="306"/>
      <c r="J1000" s="306"/>
      <c r="K1000" s="306"/>
      <c r="L1000" s="306"/>
      <c r="M1000" s="306"/>
      <c r="N1000" s="306"/>
      <c r="O1000" s="306"/>
      <c r="P1000" s="306"/>
      <c r="Q1000" s="306"/>
      <c r="R1000" s="306"/>
      <c r="S1000" s="306"/>
      <c r="T1000" s="306"/>
      <c r="U1000" s="306"/>
      <c r="V1000" s="306"/>
      <c r="W1000" s="306"/>
      <c r="X1000" s="306"/>
      <c r="Y1000" s="306"/>
      <c r="Z1000" s="306"/>
    </row>
    <row r="1001" spans="1:26" x14ac:dyDescent="0.35">
      <c r="A1001" s="306"/>
      <c r="B1001" s="306"/>
      <c r="C1001" s="306"/>
      <c r="D1001" s="306"/>
      <c r="E1001" s="306"/>
      <c r="F1001" s="306"/>
      <c r="G1001" s="306"/>
      <c r="H1001" s="306"/>
      <c r="I1001" s="306"/>
      <c r="J1001" s="306"/>
      <c r="K1001" s="306"/>
      <c r="L1001" s="306"/>
      <c r="M1001" s="306"/>
      <c r="N1001" s="306"/>
      <c r="O1001" s="306"/>
      <c r="P1001" s="306"/>
      <c r="Q1001" s="306"/>
      <c r="R1001" s="306"/>
      <c r="S1001" s="306"/>
      <c r="T1001" s="306"/>
      <c r="U1001" s="306"/>
      <c r="V1001" s="306"/>
      <c r="W1001" s="306"/>
      <c r="X1001" s="306"/>
      <c r="Y1001" s="306"/>
      <c r="Z1001" s="306"/>
    </row>
    <row r="1002" spans="1:26" x14ac:dyDescent="0.35">
      <c r="A1002" s="306"/>
      <c r="B1002" s="306"/>
      <c r="C1002" s="306"/>
      <c r="D1002" s="306"/>
      <c r="E1002" s="306"/>
      <c r="F1002" s="306"/>
      <c r="G1002" s="306"/>
      <c r="H1002" s="306"/>
      <c r="I1002" s="306"/>
      <c r="J1002" s="306"/>
      <c r="K1002" s="306"/>
      <c r="L1002" s="306"/>
      <c r="M1002" s="306"/>
      <c r="N1002" s="306"/>
      <c r="O1002" s="306"/>
      <c r="P1002" s="306"/>
      <c r="Q1002" s="306"/>
      <c r="R1002" s="306"/>
      <c r="S1002" s="306"/>
      <c r="T1002" s="306"/>
      <c r="U1002" s="306"/>
      <c r="V1002" s="306"/>
      <c r="W1002" s="306"/>
      <c r="X1002" s="306"/>
      <c r="Y1002" s="306"/>
      <c r="Z1002" s="306"/>
    </row>
    <row r="1003" spans="1:26" x14ac:dyDescent="0.35">
      <c r="A1003" s="306"/>
      <c r="B1003" s="306"/>
      <c r="C1003" s="306"/>
      <c r="D1003" s="306"/>
      <c r="E1003" s="306"/>
      <c r="F1003" s="306"/>
      <c r="G1003" s="306"/>
      <c r="H1003" s="306"/>
      <c r="I1003" s="306"/>
      <c r="J1003" s="306"/>
      <c r="K1003" s="306"/>
      <c r="L1003" s="306"/>
      <c r="M1003" s="306"/>
      <c r="N1003" s="306"/>
      <c r="O1003" s="306"/>
      <c r="P1003" s="306"/>
      <c r="Q1003" s="306"/>
      <c r="R1003" s="306"/>
      <c r="S1003" s="306"/>
      <c r="T1003" s="306"/>
      <c r="U1003" s="306"/>
      <c r="V1003" s="306"/>
      <c r="W1003" s="306"/>
      <c r="X1003" s="306"/>
      <c r="Y1003" s="306"/>
      <c r="Z1003" s="306"/>
    </row>
    <row r="1004" spans="1:26" x14ac:dyDescent="0.35">
      <c r="A1004" s="306"/>
      <c r="B1004" s="306"/>
      <c r="C1004" s="306"/>
      <c r="D1004" s="306"/>
      <c r="E1004" s="306"/>
      <c r="F1004" s="306"/>
      <c r="G1004" s="306"/>
      <c r="H1004" s="306"/>
      <c r="I1004" s="306"/>
      <c r="J1004" s="306"/>
      <c r="K1004" s="306"/>
      <c r="L1004" s="306"/>
      <c r="M1004" s="306"/>
      <c r="N1004" s="306"/>
      <c r="O1004" s="306"/>
      <c r="P1004" s="306"/>
      <c r="Q1004" s="306"/>
      <c r="R1004" s="306"/>
      <c r="S1004" s="306"/>
      <c r="T1004" s="306"/>
      <c r="U1004" s="306"/>
      <c r="V1004" s="306"/>
      <c r="W1004" s="306"/>
      <c r="X1004" s="306"/>
      <c r="Y1004" s="306"/>
      <c r="Z1004" s="306"/>
    </row>
    <row r="1005" spans="1:26" x14ac:dyDescent="0.35">
      <c r="A1005" s="306"/>
      <c r="B1005" s="306"/>
      <c r="C1005" s="306"/>
      <c r="D1005" s="306"/>
      <c r="E1005" s="306"/>
      <c r="F1005" s="306"/>
      <c r="G1005" s="306"/>
      <c r="H1005" s="306"/>
      <c r="I1005" s="306"/>
      <c r="J1005" s="306"/>
      <c r="K1005" s="306"/>
      <c r="L1005" s="306"/>
      <c r="M1005" s="306"/>
      <c r="N1005" s="306"/>
      <c r="O1005" s="306"/>
      <c r="P1005" s="306"/>
      <c r="Q1005" s="306"/>
      <c r="R1005" s="306"/>
      <c r="S1005" s="306"/>
      <c r="T1005" s="306"/>
      <c r="U1005" s="306"/>
      <c r="V1005" s="306"/>
      <c r="W1005" s="306"/>
      <c r="X1005" s="306"/>
      <c r="Y1005" s="306"/>
      <c r="Z1005" s="306"/>
    </row>
    <row r="1006" spans="1:26" x14ac:dyDescent="0.35">
      <c r="A1006" s="306"/>
      <c r="B1006" s="306"/>
      <c r="C1006" s="306"/>
      <c r="D1006" s="306"/>
      <c r="E1006" s="306"/>
      <c r="F1006" s="306"/>
      <c r="G1006" s="306"/>
      <c r="H1006" s="306"/>
      <c r="I1006" s="306"/>
      <c r="J1006" s="306"/>
      <c r="K1006" s="306"/>
      <c r="L1006" s="306"/>
      <c r="M1006" s="306"/>
      <c r="N1006" s="306"/>
      <c r="O1006" s="306"/>
      <c r="P1006" s="306"/>
      <c r="Q1006" s="306"/>
      <c r="R1006" s="306"/>
      <c r="S1006" s="306"/>
      <c r="T1006" s="306"/>
      <c r="U1006" s="306"/>
      <c r="V1006" s="306"/>
      <c r="W1006" s="306"/>
      <c r="X1006" s="306"/>
      <c r="Y1006" s="306"/>
      <c r="Z1006" s="306"/>
    </row>
    <row r="1007" spans="1:26" x14ac:dyDescent="0.35">
      <c r="A1007" s="306"/>
      <c r="B1007" s="306"/>
      <c r="C1007" s="306"/>
      <c r="D1007" s="306"/>
      <c r="E1007" s="306"/>
      <c r="F1007" s="306"/>
      <c r="G1007" s="306"/>
      <c r="H1007" s="306"/>
      <c r="I1007" s="306"/>
      <c r="J1007" s="306"/>
      <c r="K1007" s="306"/>
      <c r="L1007" s="306"/>
      <c r="M1007" s="306"/>
      <c r="N1007" s="306"/>
      <c r="O1007" s="306"/>
      <c r="P1007" s="306"/>
      <c r="Q1007" s="306"/>
      <c r="R1007" s="306"/>
      <c r="S1007" s="306"/>
      <c r="T1007" s="306"/>
      <c r="U1007" s="306"/>
      <c r="V1007" s="306"/>
      <c r="W1007" s="306"/>
      <c r="X1007" s="306"/>
      <c r="Y1007" s="306"/>
      <c r="Z1007" s="306"/>
    </row>
    <row r="1008" spans="1:26" x14ac:dyDescent="0.35">
      <c r="A1008" s="306"/>
      <c r="B1008" s="306"/>
      <c r="C1008" s="306"/>
      <c r="D1008" s="306"/>
      <c r="E1008" s="306"/>
      <c r="F1008" s="306"/>
      <c r="G1008" s="306"/>
      <c r="H1008" s="306"/>
      <c r="I1008" s="306"/>
      <c r="J1008" s="306"/>
      <c r="K1008" s="306"/>
      <c r="L1008" s="306"/>
      <c r="M1008" s="306"/>
      <c r="N1008" s="306"/>
      <c r="O1008" s="306"/>
      <c r="P1008" s="306"/>
      <c r="Q1008" s="306"/>
      <c r="R1008" s="306"/>
      <c r="S1008" s="306"/>
      <c r="T1008" s="306"/>
      <c r="U1008" s="306"/>
      <c r="V1008" s="306"/>
      <c r="W1008" s="306"/>
      <c r="X1008" s="306"/>
      <c r="Y1008" s="306"/>
      <c r="Z1008" s="306"/>
    </row>
  </sheetData>
  <mergeCells count="1">
    <mergeCell ref="J58:L63"/>
  </mergeCell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D704-67F4-40E0-9D53-544B9FC77595}">
  <dimension ref="A1:D8"/>
  <sheetViews>
    <sheetView workbookViewId="0">
      <selection activeCell="D2" sqref="D2:D8"/>
    </sheetView>
  </sheetViews>
  <sheetFormatPr defaultRowHeight="14.4" x14ac:dyDescent="0.3"/>
  <cols>
    <col min="2" max="2" width="10.88671875" bestFit="1" customWidth="1"/>
    <col min="4" max="4" width="10.77734375" bestFit="1" customWidth="1"/>
  </cols>
  <sheetData>
    <row r="1" spans="1:4" x14ac:dyDescent="0.3">
      <c r="A1" s="367" t="s">
        <v>321</v>
      </c>
      <c r="B1" s="367" t="s">
        <v>322</v>
      </c>
      <c r="C1" s="367" t="s">
        <v>323</v>
      </c>
    </row>
    <row r="2" spans="1:4" x14ac:dyDescent="0.3">
      <c r="A2">
        <v>1</v>
      </c>
      <c r="B2" t="s">
        <v>33</v>
      </c>
      <c r="C2">
        <v>4</v>
      </c>
      <c r="D2" t="str" cm="1">
        <f t="array" ref="D2">_xlfn.SWITCH(C2,1,"POOR",2,"FAIR",3,"GOOD",4,"VERY GOOD",5,"EXCELLENT")</f>
        <v>VERY GOOD</v>
      </c>
    </row>
    <row r="3" spans="1:4" x14ac:dyDescent="0.3">
      <c r="A3">
        <v>2</v>
      </c>
      <c r="B3" t="s">
        <v>35</v>
      </c>
      <c r="C3">
        <v>5</v>
      </c>
      <c r="D3" t="str" cm="1">
        <f t="array" ref="D3">_xlfn.SWITCH(C3,1,"POOR",2,"FAIR",3,"GOOD",4,"VERY GOOD",5,"EXCELLENT")</f>
        <v>EXCELLENT</v>
      </c>
    </row>
    <row r="4" spans="1:4" x14ac:dyDescent="0.3">
      <c r="A4">
        <v>3</v>
      </c>
      <c r="B4" t="s">
        <v>36</v>
      </c>
      <c r="C4">
        <v>3</v>
      </c>
      <c r="D4" t="str" cm="1">
        <f t="array" ref="D4">_xlfn.SWITCH(C4,1,"POOR",2,"FAIR",3,"GOOD",4,"VERY GOOD",5,"EXCELLENT")</f>
        <v>GOOD</v>
      </c>
    </row>
    <row r="5" spans="1:4" x14ac:dyDescent="0.3">
      <c r="A5">
        <v>4</v>
      </c>
      <c r="B5" t="s">
        <v>37</v>
      </c>
      <c r="C5">
        <v>2</v>
      </c>
      <c r="D5" t="str" cm="1">
        <f t="array" ref="D5">_xlfn.SWITCH(C5,1,"POOR",2,"FAIR",3,"GOOD",4,"VERY GOOD",5,"EXCELLENT")</f>
        <v>FAIR</v>
      </c>
    </row>
    <row r="6" spans="1:4" x14ac:dyDescent="0.3">
      <c r="A6">
        <v>5</v>
      </c>
      <c r="B6" t="s">
        <v>38</v>
      </c>
      <c r="C6">
        <v>1</v>
      </c>
      <c r="D6" t="str" cm="1">
        <f t="array" ref="D6">_xlfn.SWITCH(C6,1,"POOR",2,"FAIR",3,"GOOD",4,"VERY GOOD",5,"EXCELLENT")</f>
        <v>POOR</v>
      </c>
    </row>
    <row r="7" spans="1:4" x14ac:dyDescent="0.3">
      <c r="A7">
        <v>6</v>
      </c>
      <c r="B7" t="s">
        <v>39</v>
      </c>
      <c r="C7">
        <v>4</v>
      </c>
      <c r="D7" t="str" cm="1">
        <f t="array" ref="D7">_xlfn.SWITCH(C7,1,"POOR",2,"FAIR",3,"GOOD",4,"VERY GOOD",5,"EXCELLENT")</f>
        <v>VERY GOOD</v>
      </c>
    </row>
    <row r="8" spans="1:4" x14ac:dyDescent="0.3">
      <c r="A8">
        <v>7</v>
      </c>
      <c r="B8" t="s">
        <v>40</v>
      </c>
      <c r="C8">
        <v>3</v>
      </c>
      <c r="D8" t="str" cm="1">
        <f t="array" ref="D8">_xlfn.SWITCH(C8,1,"POOR",2,"FAIR",3,"GOOD",4,"VERY GOOD",5,"EXCELLENT")</f>
        <v>GOOD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Formatting</vt:lpstr>
      <vt:lpstr>Data Types</vt:lpstr>
      <vt:lpstr>Sorting of Data</vt:lpstr>
      <vt:lpstr>Basic formulas and functions</vt:lpstr>
      <vt:lpstr>Filtering of Data</vt:lpstr>
      <vt:lpstr>Cell referencing and Percentage</vt:lpstr>
      <vt:lpstr>TEXT functions</vt:lpstr>
      <vt:lpstr>Date Time functions</vt:lpstr>
      <vt:lpstr>IF and IFs</vt:lpstr>
      <vt:lpstr>Logical operators</vt:lpstr>
      <vt:lpstr>Logical functions</vt:lpstr>
      <vt:lpstr>HLOOKUP</vt:lpstr>
      <vt:lpstr>VLOOKUP</vt:lpstr>
      <vt:lpstr>LOOKUP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copilot_demo</dc:creator>
  <cp:lastModifiedBy>Amar Kushwaha</cp:lastModifiedBy>
  <cp:lastPrinted>2026-08-02T03:03:54Z</cp:lastPrinted>
  <dcterms:created xsi:type="dcterms:W3CDTF">2026-07-12T10:55:47Z</dcterms:created>
  <dcterms:modified xsi:type="dcterms:W3CDTF">2026-08-07T05:29:35Z</dcterms:modified>
</cp:coreProperties>
</file>