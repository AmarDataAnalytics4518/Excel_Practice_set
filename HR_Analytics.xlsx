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e01175281ae829a/Desktop/"/>
    </mc:Choice>
  </mc:AlternateContent>
  <xr:revisionPtr revIDLastSave="0" documentId="8_{E8854C6C-A3FA-4B59-A1D6-6DAFCB6F7BE0}" xr6:coauthVersionLast="47" xr6:coauthVersionMax="47" xr10:uidLastSave="{00000000-0000-0000-0000-000000000000}"/>
  <bookViews>
    <workbookView xWindow="-108" yWindow="-108" windowWidth="23256" windowHeight="12456" xr2:uid="{25225FF3-496F-4550-800A-964B0CBAFB74}"/>
  </bookViews>
  <sheets>
    <sheet name="DASHBOARD" sheetId="6" r:id="rId1"/>
    <sheet name="Bonus_Analysis" sheetId="7" r:id="rId2"/>
    <sheet name="Sheet1" sheetId="1" r:id="rId3"/>
  </sheets>
  <calcPr calcId="191029"/>
  <pivotCaches>
    <pivotCache cacheId="3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2" i="1" l="1"/>
  <c r="AI2" i="1"/>
  <c r="AH2" i="1"/>
  <c r="AG2" i="1"/>
  <c r="AF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E2" i="1" a="1"/>
  <c r="AE2" i="1" s="1"/>
  <c r="AE3" i="1" a="1"/>
  <c r="AE3" i="1"/>
  <c r="AE4" i="1" a="1"/>
  <c r="AE4" i="1" s="1"/>
  <c r="AE5" i="1" a="1"/>
  <c r="AE5" i="1" s="1"/>
  <c r="AE6" i="1" a="1"/>
  <c r="AE6" i="1"/>
  <c r="AE7" i="1" a="1"/>
  <c r="AE7" i="1" s="1"/>
  <c r="AE8" i="1" a="1"/>
  <c r="AE8" i="1" s="1"/>
  <c r="AE9" i="1" a="1"/>
  <c r="AE9" i="1" s="1"/>
  <c r="AE10" i="1" a="1"/>
  <c r="AE10" i="1" s="1"/>
  <c r="AE11" i="1" a="1"/>
  <c r="AE11" i="1" s="1"/>
  <c r="AE12" i="1" a="1"/>
  <c r="AE12" i="1" s="1"/>
  <c r="AE13" i="1" a="1"/>
  <c r="AE13" i="1"/>
  <c r="AE14" i="1" a="1"/>
  <c r="AE14" i="1" s="1"/>
  <c r="AE15" i="1" a="1"/>
  <c r="AE15" i="1" s="1"/>
  <c r="AE16" i="1" a="1"/>
  <c r="AE16" i="1" s="1"/>
  <c r="AE17" i="1" a="1"/>
  <c r="AE17" i="1" s="1"/>
  <c r="AE18" i="1" a="1"/>
  <c r="AE18" i="1" s="1"/>
  <c r="AE19" i="1" a="1"/>
  <c r="AE19" i="1" s="1"/>
  <c r="AE20" i="1" a="1"/>
  <c r="AE20" i="1" s="1"/>
  <c r="AE21" i="1" a="1"/>
  <c r="AE21" i="1"/>
  <c r="AE22" i="1" a="1"/>
  <c r="AE22" i="1" s="1"/>
  <c r="AE23" i="1" a="1"/>
  <c r="AE23" i="1" s="1"/>
  <c r="AE24" i="1" a="1"/>
  <c r="AE24" i="1" s="1"/>
  <c r="AE25" i="1" a="1"/>
  <c r="AE25" i="1" s="1"/>
  <c r="AE26" i="1" a="1"/>
  <c r="AE26" i="1" s="1"/>
  <c r="AE27" i="1" a="1"/>
  <c r="AE27" i="1" s="1"/>
  <c r="AE28" i="1" a="1"/>
  <c r="AE28" i="1" s="1"/>
  <c r="AE29" i="1" a="1"/>
  <c r="AE29" i="1" s="1"/>
  <c r="AE30" i="1" a="1"/>
  <c r="AE30" i="1" s="1"/>
  <c r="AE31" i="1" a="1"/>
  <c r="AE31" i="1" s="1"/>
  <c r="AE32" i="1" a="1"/>
  <c r="AE32" i="1" s="1"/>
  <c r="AE33" i="1" a="1"/>
  <c r="AE33" i="1"/>
  <c r="AE34" i="1" a="1"/>
  <c r="AE34" i="1"/>
  <c r="AE35" i="1" a="1"/>
  <c r="AE35" i="1"/>
  <c r="AE36" i="1" a="1"/>
  <c r="AE36" i="1"/>
  <c r="AE37" i="1" a="1"/>
  <c r="AE37" i="1" s="1"/>
  <c r="AE38" i="1" a="1"/>
  <c r="AE38" i="1"/>
  <c r="AE39" i="1" a="1"/>
  <c r="AE39" i="1" s="1"/>
  <c r="AE40" i="1" a="1"/>
  <c r="AE40" i="1" s="1"/>
  <c r="AE41" i="1" a="1"/>
  <c r="AE41" i="1" s="1"/>
  <c r="AE42" i="1" a="1"/>
  <c r="AE42" i="1" s="1"/>
  <c r="AE43" i="1" a="1"/>
  <c r="AE43" i="1" s="1"/>
  <c r="AE44" i="1" a="1"/>
  <c r="AE44" i="1" s="1"/>
  <c r="AE45" i="1" a="1"/>
  <c r="AE45" i="1" s="1"/>
  <c r="AE46" i="1" a="1"/>
  <c r="AE46" i="1"/>
  <c r="AE47" i="1" a="1"/>
  <c r="AE47" i="1" s="1"/>
  <c r="AE48" i="1" a="1"/>
  <c r="AE48" i="1" s="1"/>
  <c r="AE49" i="1" a="1"/>
  <c r="AE49" i="1" s="1"/>
  <c r="AE50" i="1" a="1"/>
  <c r="AE50" i="1"/>
  <c r="AE51" i="1" a="1"/>
  <c r="AE51" i="1" s="1"/>
  <c r="AD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C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W2" i="1"/>
  <c r="Y2" i="1" s="1" a="1"/>
  <c r="Y2" i="1" s="1"/>
  <c r="W3" i="1"/>
  <c r="Y3" i="1" s="1" a="1"/>
  <c r="Y3" i="1" s="1"/>
  <c r="W4" i="1"/>
  <c r="Y4" i="1" s="1" a="1"/>
  <c r="Y4" i="1" s="1"/>
  <c r="W5" i="1"/>
  <c r="Y5" i="1" s="1" a="1"/>
  <c r="Y5" i="1" s="1"/>
  <c r="W6" i="1"/>
  <c r="Y6" i="1" s="1" a="1"/>
  <c r="Y6" i="1" s="1"/>
  <c r="W7" i="1"/>
  <c r="Y7" i="1" s="1" a="1"/>
  <c r="Y7" i="1" s="1"/>
  <c r="W8" i="1"/>
  <c r="Y8" i="1" s="1" a="1"/>
  <c r="Y8" i="1" s="1"/>
  <c r="W9" i="1"/>
  <c r="Y9" i="1" s="1" a="1"/>
  <c r="Y9" i="1" s="1"/>
  <c r="W10" i="1"/>
  <c r="Y10" i="1" s="1" a="1"/>
  <c r="Y10" i="1" s="1"/>
  <c r="W11" i="1"/>
  <c r="Y11" i="1" s="1" a="1"/>
  <c r="Y11" i="1" s="1"/>
  <c r="W12" i="1"/>
  <c r="Y12" i="1" s="1" a="1"/>
  <c r="Y12" i="1" s="1"/>
  <c r="W13" i="1"/>
  <c r="Y13" i="1" s="1" a="1"/>
  <c r="Y13" i="1" s="1"/>
  <c r="W14" i="1"/>
  <c r="Y14" i="1" s="1" a="1"/>
  <c r="Y14" i="1" s="1"/>
  <c r="W15" i="1"/>
  <c r="Y15" i="1" s="1" a="1"/>
  <c r="Y15" i="1" s="1"/>
  <c r="W16" i="1"/>
  <c r="Y16" i="1" s="1" a="1"/>
  <c r="Y16" i="1" s="1"/>
  <c r="W17" i="1"/>
  <c r="Y17" i="1" s="1" a="1"/>
  <c r="Y17" i="1" s="1"/>
  <c r="W18" i="1"/>
  <c r="Y18" i="1" s="1" a="1"/>
  <c r="Y18" i="1" s="1"/>
  <c r="W19" i="1"/>
  <c r="Y19" i="1" s="1" a="1"/>
  <c r="Y19" i="1" s="1"/>
  <c r="W20" i="1"/>
  <c r="Y20" i="1" s="1" a="1"/>
  <c r="Y20" i="1" s="1"/>
  <c r="W21" i="1"/>
  <c r="Y21" i="1" s="1" a="1"/>
  <c r="Y21" i="1" s="1"/>
  <c r="W22" i="1"/>
  <c r="Y22" i="1" s="1" a="1"/>
  <c r="Y22" i="1" s="1"/>
  <c r="W23" i="1"/>
  <c r="Y23" i="1" s="1" a="1"/>
  <c r="Y23" i="1" s="1"/>
  <c r="W24" i="1"/>
  <c r="Y24" i="1" s="1" a="1"/>
  <c r="Y24" i="1" s="1"/>
  <c r="W25" i="1"/>
  <c r="Y25" i="1" s="1" a="1"/>
  <c r="Y25" i="1" s="1"/>
  <c r="W26" i="1"/>
  <c r="Y26" i="1" s="1" a="1"/>
  <c r="Y26" i="1" s="1"/>
  <c r="W27" i="1"/>
  <c r="Y27" i="1" s="1" a="1"/>
  <c r="Y27" i="1" s="1"/>
  <c r="W28" i="1"/>
  <c r="Y28" i="1" s="1" a="1"/>
  <c r="Y28" i="1" s="1"/>
  <c r="W29" i="1"/>
  <c r="Y29" i="1" s="1" a="1"/>
  <c r="Y29" i="1" s="1"/>
  <c r="W30" i="1"/>
  <c r="Y30" i="1" s="1" a="1"/>
  <c r="Y30" i="1" s="1"/>
  <c r="W31" i="1"/>
  <c r="Y31" i="1" s="1" a="1"/>
  <c r="Y31" i="1" s="1"/>
  <c r="W32" i="1"/>
  <c r="Y32" i="1" s="1" a="1"/>
  <c r="Y32" i="1" s="1"/>
  <c r="W33" i="1"/>
  <c r="Y33" i="1" s="1" a="1"/>
  <c r="Y33" i="1" s="1"/>
  <c r="W34" i="1"/>
  <c r="Y34" i="1" s="1" a="1"/>
  <c r="Y34" i="1" s="1"/>
  <c r="W35" i="1"/>
  <c r="Y35" i="1" s="1" a="1"/>
  <c r="Y35" i="1" s="1"/>
  <c r="W36" i="1"/>
  <c r="Y36" i="1" s="1" a="1"/>
  <c r="Y36" i="1" s="1"/>
  <c r="W37" i="1"/>
  <c r="Y37" i="1" s="1" a="1"/>
  <c r="Y37" i="1" s="1"/>
  <c r="W38" i="1"/>
  <c r="Y38" i="1" s="1" a="1"/>
  <c r="Y38" i="1" s="1"/>
  <c r="W39" i="1"/>
  <c r="Y39" i="1" s="1" a="1"/>
  <c r="Y39" i="1" s="1"/>
  <c r="W40" i="1"/>
  <c r="Y40" i="1" s="1" a="1"/>
  <c r="Y40" i="1" s="1"/>
  <c r="W41" i="1"/>
  <c r="Y41" i="1" s="1" a="1"/>
  <c r="Y41" i="1" s="1"/>
  <c r="W42" i="1"/>
  <c r="Y42" i="1" s="1" a="1"/>
  <c r="Y42" i="1" s="1"/>
  <c r="W43" i="1"/>
  <c r="Y43" i="1" s="1" a="1"/>
  <c r="Y43" i="1" s="1"/>
  <c r="W44" i="1"/>
  <c r="Y44" i="1" s="1" a="1"/>
  <c r="Y44" i="1" s="1"/>
  <c r="W45" i="1"/>
  <c r="Y45" i="1" s="1" a="1"/>
  <c r="Y45" i="1" s="1"/>
  <c r="W46" i="1"/>
  <c r="Y46" i="1" s="1" a="1"/>
  <c r="Y46" i="1" s="1"/>
  <c r="W47" i="1"/>
  <c r="Y47" i="1" s="1" a="1"/>
  <c r="Y47" i="1" s="1"/>
  <c r="W48" i="1"/>
  <c r="Y48" i="1" s="1" a="1"/>
  <c r="Y48" i="1" s="1"/>
  <c r="W49" i="1"/>
  <c r="Y49" i="1" s="1" a="1"/>
  <c r="Y49" i="1" s="1"/>
  <c r="W50" i="1"/>
  <c r="Y50" i="1" s="1" a="1"/>
  <c r="Y50" i="1" s="1"/>
  <c r="W51" i="1"/>
  <c r="Y51" i="1" s="1" a="1"/>
  <c r="Y51" i="1" s="1"/>
  <c r="V24" i="1"/>
  <c r="Z24" i="1" s="1"/>
  <c r="V25" i="1"/>
  <c r="Z25" i="1" s="1"/>
  <c r="V26" i="1"/>
  <c r="Z26" i="1" s="1"/>
  <c r="V27" i="1"/>
  <c r="Z27" i="1" s="1"/>
  <c r="V28" i="1"/>
  <c r="Z28" i="1" s="1"/>
  <c r="V29" i="1"/>
  <c r="Z29" i="1" s="1"/>
  <c r="V30" i="1"/>
  <c r="Z30" i="1" s="1"/>
  <c r="V31" i="1"/>
  <c r="Z31" i="1" s="1"/>
  <c r="V32" i="1"/>
  <c r="Z32" i="1" s="1"/>
  <c r="V33" i="1"/>
  <c r="Z33" i="1" s="1"/>
  <c r="V34" i="1"/>
  <c r="Z34" i="1" s="1"/>
  <c r="V35" i="1"/>
  <c r="Z35" i="1" s="1"/>
  <c r="V36" i="1"/>
  <c r="Z36" i="1" s="1"/>
  <c r="V37" i="1"/>
  <c r="Z37" i="1" s="1"/>
  <c r="V38" i="1"/>
  <c r="Z38" i="1" s="1"/>
  <c r="V39" i="1"/>
  <c r="Z39" i="1" s="1"/>
  <c r="V40" i="1"/>
  <c r="Z40" i="1" s="1"/>
  <c r="V41" i="1"/>
  <c r="Z41" i="1" s="1"/>
  <c r="V42" i="1"/>
  <c r="Z42" i="1" s="1"/>
  <c r="V43" i="1"/>
  <c r="Z43" i="1" s="1"/>
  <c r="V44" i="1"/>
  <c r="Z44" i="1" s="1"/>
  <c r="V45" i="1"/>
  <c r="Z45" i="1" s="1"/>
  <c r="V46" i="1"/>
  <c r="Z46" i="1" s="1"/>
  <c r="V47" i="1"/>
  <c r="Z47" i="1" s="1"/>
  <c r="V48" i="1"/>
  <c r="Z48" i="1" s="1"/>
  <c r="V49" i="1"/>
  <c r="Z49" i="1" s="1"/>
  <c r="V50" i="1"/>
  <c r="Z50" i="1" s="1"/>
  <c r="V51" i="1"/>
  <c r="Z51" i="1" s="1"/>
  <c r="V3" i="1"/>
  <c r="Z3" i="1" s="1"/>
  <c r="V4" i="1"/>
  <c r="Z4" i="1" s="1"/>
  <c r="V5" i="1"/>
  <c r="Z5" i="1" s="1"/>
  <c r="V6" i="1"/>
  <c r="Z6" i="1" s="1"/>
  <c r="V7" i="1"/>
  <c r="Z7" i="1" s="1"/>
  <c r="V8" i="1"/>
  <c r="Z8" i="1" s="1"/>
  <c r="V9" i="1"/>
  <c r="Z9" i="1" s="1"/>
  <c r="V10" i="1"/>
  <c r="Z10" i="1" s="1"/>
  <c r="V11" i="1"/>
  <c r="Z11" i="1" s="1"/>
  <c r="V12" i="1"/>
  <c r="Z12" i="1" s="1"/>
  <c r="V13" i="1"/>
  <c r="Z13" i="1" s="1"/>
  <c r="V14" i="1"/>
  <c r="Z14" i="1" s="1"/>
  <c r="V15" i="1"/>
  <c r="Z15" i="1" s="1"/>
  <c r="V16" i="1"/>
  <c r="Z16" i="1" s="1"/>
  <c r="V17" i="1"/>
  <c r="Z17" i="1" s="1"/>
  <c r="V18" i="1"/>
  <c r="Z18" i="1" s="1"/>
  <c r="V19" i="1"/>
  <c r="Z19" i="1" s="1"/>
  <c r="V20" i="1"/>
  <c r="Z20" i="1" s="1"/>
  <c r="V21" i="1"/>
  <c r="Z21" i="1" s="1"/>
  <c r="V22" i="1"/>
  <c r="Z22" i="1" s="1"/>
  <c r="V23" i="1"/>
  <c r="Z23" i="1" s="1"/>
  <c r="V2" i="1"/>
  <c r="Z2" i="1" s="1"/>
  <c r="U2" i="1"/>
  <c r="AA2" i="1" s="1"/>
  <c r="T2" i="1"/>
  <c r="S2" i="1"/>
  <c r="R2" i="1"/>
  <c r="Q2" i="1"/>
  <c r="AB2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<sst xmlns="http://schemas.openxmlformats.org/spreadsheetml/2006/main" count="446" uniqueCount="271">
  <si>
    <t>Emp ID</t>
  </si>
  <si>
    <t>Name</t>
  </si>
  <si>
    <t>Age</t>
  </si>
  <si>
    <t>Gender</t>
  </si>
  <si>
    <t>City</t>
  </si>
  <si>
    <t>Department</t>
  </si>
  <si>
    <t>Designation</t>
  </si>
  <si>
    <t>Joining Date</t>
  </si>
  <si>
    <t>Salary</t>
  </si>
  <si>
    <t>Performance Rating</t>
  </si>
  <si>
    <t>Projects Done</t>
  </si>
  <si>
    <t>Bonus %</t>
  </si>
  <si>
    <t>Remote</t>
  </si>
  <si>
    <t>Leaves Taken</t>
  </si>
  <si>
    <t>Email ID</t>
  </si>
  <si>
    <t>Phone</t>
  </si>
  <si>
    <t>E001</t>
  </si>
  <si>
    <t>Aarav Sharma</t>
  </si>
  <si>
    <t>M</t>
  </si>
  <si>
    <t>Delhi</t>
  </si>
  <si>
    <t>IT</t>
  </si>
  <si>
    <t>Software Engineer</t>
  </si>
  <si>
    <t>Yes</t>
  </si>
  <si>
    <t>aarav.s@abc.com</t>
  </si>
  <si>
    <t>E002</t>
  </si>
  <si>
    <t>Vivaan Singh</t>
  </si>
  <si>
    <t>Mumbai</t>
  </si>
  <si>
    <t>Sales</t>
  </si>
  <si>
    <t>Sales Manager</t>
  </si>
  <si>
    <t>No</t>
  </si>
  <si>
    <t>vivaan.s@abc.com</t>
  </si>
  <si>
    <t>E003</t>
  </si>
  <si>
    <t>Aditya Kumar</t>
  </si>
  <si>
    <t>Bangalore</t>
  </si>
  <si>
    <t>Jr Developer</t>
  </si>
  <si>
    <t>aditya.k@abc.com</t>
  </si>
  <si>
    <t>E004</t>
  </si>
  <si>
    <t>Diya Patel</t>
  </si>
  <si>
    <t>F</t>
  </si>
  <si>
    <t>Ahmedabad</t>
  </si>
  <si>
    <t>HR</t>
  </si>
  <si>
    <t>HR Executive</t>
  </si>
  <si>
    <t>diya.p@abc.com</t>
  </si>
  <si>
    <t>E005</t>
  </si>
  <si>
    <t>Arjun Reddy</t>
  </si>
  <si>
    <t>Hyderabad</t>
  </si>
  <si>
    <t>Finance</t>
  </si>
  <si>
    <t>Accountant</t>
  </si>
  <si>
    <t>arjun.r@abc.com</t>
  </si>
  <si>
    <t>E006</t>
  </si>
  <si>
    <t>Ananya Das</t>
  </si>
  <si>
    <t>Kolkata</t>
  </si>
  <si>
    <t>Marketing</t>
  </si>
  <si>
    <t>Digital Marketer</t>
  </si>
  <si>
    <t>ananya.d@abc.com</t>
  </si>
  <si>
    <t>E007</t>
  </si>
  <si>
    <t>Krishna Yadav</t>
  </si>
  <si>
    <t>Lucknow</t>
  </si>
  <si>
    <t>Operations</t>
  </si>
  <si>
    <t>Ops Manager</t>
  </si>
  <si>
    <t>krishna.y@abc.com</t>
  </si>
  <si>
    <t>E008</t>
  </si>
  <si>
    <t>Ishaan Joshi</t>
  </si>
  <si>
    <t>Pune</t>
  </si>
  <si>
    <t>Support Engineer</t>
  </si>
  <si>
    <t>ishaan.j@abc.com</t>
  </si>
  <si>
    <t>E009</t>
  </si>
  <si>
    <t>Kavya Nair</t>
  </si>
  <si>
    <t>Chennai</t>
  </si>
  <si>
    <t>Sr Accountant</t>
  </si>
  <si>
    <t>kavya.n@abc.com</t>
  </si>
  <si>
    <t>E010</t>
  </si>
  <si>
    <t>Rohan Mehta</t>
  </si>
  <si>
    <t>Jaipur</t>
  </si>
  <si>
    <t>Area Manager</t>
  </si>
  <si>
    <t>rohan.m@abc.com</t>
  </si>
  <si>
    <t>E011</t>
  </si>
  <si>
    <t>Saanvi Gupta</t>
  </si>
  <si>
    <t>Chandigarh</t>
  </si>
  <si>
    <t>Recruiter</t>
  </si>
  <si>
    <t>saanvi.g@abc.com</t>
  </si>
  <si>
    <t>E012</t>
  </si>
  <si>
    <t>Ayaan Khan</t>
  </si>
  <si>
    <t>Indore</t>
  </si>
  <si>
    <t>DevOps Engineer</t>
  </si>
  <si>
    <t>ayaan.k@abc.com</t>
  </si>
  <si>
    <t>E013</t>
  </si>
  <si>
    <t>Myra Agarwal</t>
  </si>
  <si>
    <t>Surat</t>
  </si>
  <si>
    <t>Brand Manager</t>
  </si>
  <si>
    <t>myra.a@abc.com</t>
  </si>
  <si>
    <t>E014</t>
  </si>
  <si>
    <t>Vihaan Shah</t>
  </si>
  <si>
    <t>Nagpur</t>
  </si>
  <si>
    <t>Logistics Head</t>
  </si>
  <si>
    <t>vihaan.s@abc.com</t>
  </si>
  <si>
    <t>E015</t>
  </si>
  <si>
    <t>Pari Verma</t>
  </si>
  <si>
    <t>Bhopal</t>
  </si>
  <si>
    <t>Intern</t>
  </si>
  <si>
    <t>pari.v@abc.com</t>
  </si>
  <si>
    <t>E016</t>
  </si>
  <si>
    <t>Atharv Mishra</t>
  </si>
  <si>
    <t>Patna</t>
  </si>
  <si>
    <t>Finance Manager</t>
  </si>
  <si>
    <t>atharv.m@abc.com</t>
  </si>
  <si>
    <t>E017</t>
  </si>
  <si>
    <t>Sara Sheikh</t>
  </si>
  <si>
    <t>Noida</t>
  </si>
  <si>
    <t>Sales Executive</t>
  </si>
  <si>
    <t>sara.s@abc.com</t>
  </si>
  <si>
    <t>E018</t>
  </si>
  <si>
    <t>Reyansh Tiwari</t>
  </si>
  <si>
    <t>Gurgaon</t>
  </si>
  <si>
    <t>Tech Lead</t>
  </si>
  <si>
    <t>reyansh.t@abc.com</t>
  </si>
  <si>
    <t>E019</t>
  </si>
  <si>
    <t>Anika Roy</t>
  </si>
  <si>
    <t>Guwahati</t>
  </si>
  <si>
    <t>HR Manager</t>
  </si>
  <si>
    <t>anika.r@abc.com</t>
  </si>
  <si>
    <t>E020</t>
  </si>
  <si>
    <t>Kabir Jain</t>
  </si>
  <si>
    <t>Vadodara</t>
  </si>
  <si>
    <t>SEO Specialist</t>
  </si>
  <si>
    <t>kabir.j@abc.com</t>
  </si>
  <si>
    <t>E021</t>
  </si>
  <si>
    <t>Aadhya Malhotra</t>
  </si>
  <si>
    <t>QA Engineer</t>
  </si>
  <si>
    <t>aadhya.m@abc.com</t>
  </si>
  <si>
    <t>E022</t>
  </si>
  <si>
    <t>Dhruv Saxena</t>
  </si>
  <si>
    <t>VP Operations</t>
  </si>
  <si>
    <t>dhruv.s@abc.com</t>
  </si>
  <si>
    <t>E023</t>
  </si>
  <si>
    <t>Navya Kapoor</t>
  </si>
  <si>
    <t>Trainee</t>
  </si>
  <si>
    <t>navya.k@abc.com</t>
  </si>
  <si>
    <t>E024</t>
  </si>
  <si>
    <t>Yuvaan Chauhan</t>
  </si>
  <si>
    <t>Data Analyst</t>
  </si>
  <si>
    <t>yuvaan.c@abc.com</t>
  </si>
  <si>
    <t>E025</t>
  </si>
  <si>
    <t>Kiara Bhatia</t>
  </si>
  <si>
    <t>Auditor</t>
  </si>
  <si>
    <t>kiara.b@abc.com</t>
  </si>
  <si>
    <t>E026</t>
  </si>
  <si>
    <t>Rudra Sinha</t>
  </si>
  <si>
    <t>Backend Dev</t>
  </si>
  <si>
    <t>rudra.s@abc.com</t>
  </si>
  <si>
    <t>E027</t>
  </si>
  <si>
    <t>Tara Iyer</t>
  </si>
  <si>
    <t>Content Head</t>
  </si>
  <si>
    <t>tara.i@abc.com</t>
  </si>
  <si>
    <t>E028</t>
  </si>
  <si>
    <t>Veer Pandey</t>
  </si>
  <si>
    <t>Regional Head</t>
  </si>
  <si>
    <t>veer.p@abc.com</t>
  </si>
  <si>
    <t>E029</t>
  </si>
  <si>
    <t>Aisha Gill</t>
  </si>
  <si>
    <t>HR Intern</t>
  </si>
  <si>
    <t>aisha.g@abc.com</t>
  </si>
  <si>
    <t>E030</t>
  </si>
  <si>
    <t>Samar Khanna</t>
  </si>
  <si>
    <t>Frontend Dev</t>
  </si>
  <si>
    <t>samar.k@abc.com</t>
  </si>
  <si>
    <t>E031</t>
  </si>
  <si>
    <t>Prisha Chawla</t>
  </si>
  <si>
    <t>Jr Accountant</t>
  </si>
  <si>
    <t>prisha.c@abc.com</t>
  </si>
  <si>
    <t>E032</t>
  </si>
  <si>
    <t>Daksh Goel</t>
  </si>
  <si>
    <t>Supervisor</t>
  </si>
  <si>
    <t>daksh.g@abc.com</t>
  </si>
  <si>
    <t>E033</t>
  </si>
  <si>
    <t>Meher Bajaj</t>
  </si>
  <si>
    <t>Product Manager</t>
  </si>
  <si>
    <t>meher.b@abc.com</t>
  </si>
  <si>
    <t>E034</t>
  </si>
  <si>
    <t>Aryan Dutta</t>
  </si>
  <si>
    <t>Sales Rep</t>
  </si>
  <si>
    <t>aryan.d@abc.com</t>
  </si>
  <si>
    <t>E035</t>
  </si>
  <si>
    <t>Anvi Rao</t>
  </si>
  <si>
    <t>PR Manager</t>
  </si>
  <si>
    <t>anvi.r@abc.com</t>
  </si>
  <si>
    <t>E036</t>
  </si>
  <si>
    <t>Neil Arora</t>
  </si>
  <si>
    <t>neil.a@abc.com</t>
  </si>
  <si>
    <t>E037</t>
  </si>
  <si>
    <t>Avni Sethi</t>
  </si>
  <si>
    <t>Tax Consultant</t>
  </si>
  <si>
    <t>avni.s@abc.com</t>
  </si>
  <si>
    <t>E038</t>
  </si>
  <si>
    <t>Shlok Menon</t>
  </si>
  <si>
    <t>CTO</t>
  </si>
  <si>
    <t>shlok.m@abc.com</t>
  </si>
  <si>
    <t>E039</t>
  </si>
  <si>
    <t>Trisha Bose</t>
  </si>
  <si>
    <t>Training Head</t>
  </si>
  <si>
    <t>trisha.b@abc.com</t>
  </si>
  <si>
    <t>E040</t>
  </si>
  <si>
    <t>Kiaan Lamba</t>
  </si>
  <si>
    <t>Fleet Manager</t>
  </si>
  <si>
    <t>kiaan.l@abc.com</t>
  </si>
  <si>
    <t>E041</t>
  </si>
  <si>
    <t>Siya Mathur</t>
  </si>
  <si>
    <t>Key Account Mgr</t>
  </si>
  <si>
    <t>siya.m@abc.com</t>
  </si>
  <si>
    <t>E042</t>
  </si>
  <si>
    <t>Nivaan Thakur</t>
  </si>
  <si>
    <t>Cyber Security</t>
  </si>
  <si>
    <t>nivaan.t@abc.com</t>
  </si>
  <si>
    <t>E043</t>
  </si>
  <si>
    <t>Reva Pillai</t>
  </si>
  <si>
    <t>Social Media Mgr</t>
  </si>
  <si>
    <t>reva.p@abc.com</t>
  </si>
  <si>
    <t>E044</t>
  </si>
  <si>
    <t>Dev Sharma</t>
  </si>
  <si>
    <t>Cost Analyst</t>
  </si>
  <si>
    <t>dev.s@abc.com</t>
  </si>
  <si>
    <t>E045</t>
  </si>
  <si>
    <t>Ira Bansal</t>
  </si>
  <si>
    <t>UI/UX Designer</t>
  </si>
  <si>
    <t>ira.b@abc.com</t>
  </si>
  <si>
    <t>E046</t>
  </si>
  <si>
    <t>Raunak Garg</t>
  </si>
  <si>
    <t>Plant Head</t>
  </si>
  <si>
    <t>raunak.g@abc.com</t>
  </si>
  <si>
    <t>E047</t>
  </si>
  <si>
    <t>Naina Ahuja</t>
  </si>
  <si>
    <t>Business Dev</t>
  </si>
  <si>
    <t>naina.a@abc.com</t>
  </si>
  <si>
    <t>E048</t>
  </si>
  <si>
    <t>Ehaan Chopra</t>
  </si>
  <si>
    <t>Cloud Architect</t>
  </si>
  <si>
    <t>ehaan.c@abc.com</t>
  </si>
  <si>
    <t>E049</t>
  </si>
  <si>
    <t>Gauri Dubey</t>
  </si>
  <si>
    <t>Comp &amp; Ben Mgr</t>
  </si>
  <si>
    <t>gauri.d@abc.com</t>
  </si>
  <si>
    <t>E050</t>
  </si>
  <si>
    <t>Om Kohli</t>
  </si>
  <si>
    <t>CMO</t>
  </si>
  <si>
    <t>om.k@abc.com</t>
  </si>
  <si>
    <t xml:space="preserve">TOTAL SALARY </t>
  </si>
  <si>
    <t>AVERAGE</t>
  </si>
  <si>
    <t>MAX S</t>
  </si>
  <si>
    <t>R.W</t>
  </si>
  <si>
    <t>EXPERIENCE</t>
  </si>
  <si>
    <t>JOINING</t>
  </si>
  <si>
    <t>IT2</t>
  </si>
  <si>
    <t>25&lt;avera</t>
  </si>
  <si>
    <t>Row Labels</t>
  </si>
  <si>
    <t>Grand Total</t>
  </si>
  <si>
    <t>B</t>
  </si>
  <si>
    <t>PIP RISK</t>
  </si>
  <si>
    <t>BONUS</t>
  </si>
  <si>
    <t>NAME FORM EMAIL</t>
  </si>
  <si>
    <t>ACTC</t>
  </si>
  <si>
    <t>IT_SALARY</t>
  </si>
  <si>
    <t>HI-LO_CTC</t>
  </si>
  <si>
    <t>GRADE_EX</t>
  </si>
  <si>
    <t>DELHI_M-E</t>
  </si>
  <si>
    <t>SALES_AVG-PER</t>
  </si>
  <si>
    <t>remote_FEM-SAL</t>
  </si>
  <si>
    <t>Column1</t>
  </si>
  <si>
    <t>A</t>
  </si>
  <si>
    <t>C</t>
  </si>
  <si>
    <t>AVERAGE CTC BY GRADE</t>
  </si>
  <si>
    <t>Average of 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</si>
</sst>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;[Red]&quot;₹&quot;\ #,##0.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3" formatCode="0%"/>
    </dxf>
    <dxf>
      <numFmt numFmtId="164" formatCode="&quot;₹&quot;\ #,##0.0;[Red]&quot;₹&quot;\ #,##0.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[HR_Analytics.xlsx]DASHBOARD!PivotTable2</c:name>
    <c:fmtId val="4"/>
  </c:pivotSource>
  <c:chart>
    <c:autoTitleDeleted val="1"/>
    <c:pivotFmts>
      <c:pivotFmt>
        <c:idx val="0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DASHBOARD!$A$4:$A$7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DASHBOARD!$B$4:$B$7</c:f>
              <c:numCache>
                <c:formatCode>General</c:formatCode>
                <c:ptCount val="3"/>
                <c:pt idx="0">
                  <c:v>1624634.2857142857</c:v>
                </c:pt>
                <c:pt idx="1">
                  <c:v>906325.71428571432</c:v>
                </c:pt>
                <c:pt idx="2">
                  <c:v>488760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BF-4F5B-8D1D-E8422B38F23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22811183"/>
        <c:axId val="949085359"/>
      </c:barChart>
      <c:catAx>
        <c:axId val="1122811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085359"/>
        <c:crosses val="autoZero"/>
        <c:auto val="1"/>
        <c:lblAlgn val="ctr"/>
        <c:lblOffset val="100"/>
        <c:noMultiLvlLbl val="0"/>
      </c:catAx>
      <c:valAx>
        <c:axId val="949085359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122811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[HR_Analytics.xlsx]Bonus_Analysis!PivotTable3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Bonus % by </a:t>
            </a:r>
            <a:r>
              <a:rPr lang="en-US" sz="1630" baseline="0"/>
              <a:t>Experience</a:t>
            </a:r>
            <a:r>
              <a:rPr lang="en-US"/>
              <a:t> </a:t>
            </a:r>
          </a:p>
        </c:rich>
      </c:tx>
      <c:layout>
        <c:manualLayout>
          <c:xMode val="edge"/>
          <c:yMode val="edge"/>
          <c:x val="0.17210411198600176"/>
          <c:y val="0.105460775736366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5358705161854769E-2"/>
          <c:y val="0.16894685039370078"/>
          <c:w val="0.64667760279965003"/>
          <c:h val="0.746801910177894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Bonus_Analysis!$B$3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Bonus_Analysis!$A$4:$A$13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strCache>
            </c:strRef>
          </c:cat>
          <c:val>
            <c:numRef>
              <c:f>Bonus_Analysis!$B$4:$B$13</c:f>
              <c:numCache>
                <c:formatCode>0%</c:formatCode>
                <c:ptCount val="9"/>
                <c:pt idx="0">
                  <c:v>0</c:v>
                </c:pt>
                <c:pt idx="1">
                  <c:v>5.1428571428571435E-2</c:v>
                </c:pt>
                <c:pt idx="2">
                  <c:v>8.4999999999999992E-2</c:v>
                </c:pt>
                <c:pt idx="3">
                  <c:v>9.8749999999999991E-2</c:v>
                </c:pt>
                <c:pt idx="4">
                  <c:v>0.10555555555555556</c:v>
                </c:pt>
                <c:pt idx="5">
                  <c:v>0.127</c:v>
                </c:pt>
                <c:pt idx="6">
                  <c:v>0.14125000000000001</c:v>
                </c:pt>
                <c:pt idx="7">
                  <c:v>0.18</c:v>
                </c:pt>
                <c:pt idx="8">
                  <c:v>0.19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E6-483B-8FE6-6DF6D0301FE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43274031"/>
        <c:axId val="949021999"/>
      </c:barChart>
      <c:catAx>
        <c:axId val="1943274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021999"/>
        <c:crosses val="autoZero"/>
        <c:auto val="1"/>
        <c:lblAlgn val="ctr"/>
        <c:lblOffset val="100"/>
        <c:noMultiLvlLbl val="0"/>
      </c:catAx>
      <c:valAx>
        <c:axId val="949021999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943274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373380</xdr:colOff>
      <xdr:row>1</xdr:row>
      <xdr:rowOff>68580</xdr:rowOff>
    </xdr:from>
    <xdr:to>
      <xdr:col>11</xdr:col>
      <xdr:colOff>68580</xdr:colOff>
      <xdr:row>16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FC13096-A82A-A955-A8C6-DCD1378946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320040</xdr:colOff>
      <xdr:row>1</xdr:row>
      <xdr:rowOff>175260</xdr:rowOff>
    </xdr:from>
    <xdr:to>
      <xdr:col>10</xdr:col>
      <xdr:colOff>15240</xdr:colOff>
      <xdr:row>16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1B545E-EDDC-8379-AB10-A253247919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ar" refreshedDate="46203.743186921296" createdVersion="8" refreshedVersion="8" minRefreshableVersion="3" recordCount="50" xr:uid="{1A1A4141-1DC8-4499-880B-7BE09D26ECBE}">
  <cacheSource type="worksheet">
    <worksheetSource name="Table1"/>
  </cacheSource>
  <cacheFields count="29">
    <cacheField name="Emp ID" numFmtId="0">
      <sharedItems/>
    </cacheField>
    <cacheField name="Name" numFmtId="0">
      <sharedItems/>
    </cacheField>
    <cacheField name="Age" numFmtId="0">
      <sharedItems containsSemiMixedTypes="0" containsString="0" containsNumber="1" containsInteger="1" minValue="23" maxValue="35"/>
    </cacheField>
    <cacheField name="Gender" numFmtId="0">
      <sharedItems count="2">
        <s v="M"/>
        <s v="F"/>
      </sharedItems>
    </cacheField>
    <cacheField name="City" numFmtId="0">
      <sharedItems count="20">
        <s v="Delhi"/>
        <s v="Mumbai"/>
        <s v="Bangalore"/>
        <s v="Ahmedabad"/>
        <s v="Hyderabad"/>
        <s v="Kolkata"/>
        <s v="Lucknow"/>
        <s v="Pune"/>
        <s v="Chennai"/>
        <s v="Jaipur"/>
        <s v="Chandigarh"/>
        <s v="Indore"/>
        <s v="Surat"/>
        <s v="Nagpur"/>
        <s v="Bhopal"/>
        <s v="Patna"/>
        <s v="Noida"/>
        <s v="Gurgaon"/>
        <s v="Guwahati"/>
        <s v="Vadodara"/>
      </sharedItems>
    </cacheField>
    <cacheField name="Department" numFmtId="0">
      <sharedItems count="6">
        <s v="IT"/>
        <s v="Sales"/>
        <s v="HR"/>
        <s v="Finance"/>
        <s v="Marketing"/>
        <s v="Operations"/>
      </sharedItems>
    </cacheField>
    <cacheField name="Designation" numFmtId="0">
      <sharedItems/>
    </cacheField>
    <cacheField name="Joining Date" numFmtId="14">
      <sharedItems containsSemiMixedTypes="0" containsNonDate="0" containsDate="1" containsString="0" minDate="2016-07-11T00:00:00" maxDate="2024-07-09T00:00:00"/>
    </cacheField>
    <cacheField name="Salary" numFmtId="0">
      <sharedItems containsSemiMixedTypes="0" containsString="0" containsNumber="1" containsInteger="1" minValue="25000" maxValue="250000"/>
    </cacheField>
    <cacheField name="Performance Rating" numFmtId="0">
      <sharedItems containsSemiMixedTypes="0" containsString="0" containsNumber="1" minValue="3.1" maxValue="5"/>
    </cacheField>
    <cacheField name="Projects Done" numFmtId="0">
      <sharedItems containsSemiMixedTypes="0" containsString="0" containsNumber="1" containsInteger="1" minValue="1" maxValue="45"/>
    </cacheField>
    <cacheField name="Bonus %" numFmtId="9">
      <sharedItems containsSemiMixedTypes="0" containsString="0" containsNumber="1" minValue="0" maxValue="0.2"/>
    </cacheField>
    <cacheField name="Remote" numFmtId="0">
      <sharedItems/>
    </cacheField>
    <cacheField name="Leaves Taken" numFmtId="0">
      <sharedItems containsSemiMixedTypes="0" containsString="0" containsNumber="1" containsInteger="1" minValue="1" maxValue="15"/>
    </cacheField>
    <cacheField name="Email ID" numFmtId="0">
      <sharedItems/>
    </cacheField>
    <cacheField name="Phone" numFmtId="0">
      <sharedItems containsSemiMixedTypes="0" containsString="0" containsNumber="1" containsInteger="1" minValue="9876543210" maxValue="9876543259"/>
    </cacheField>
    <cacheField name="TOTAL SALARY " numFmtId="0">
      <sharedItems containsString="0" containsBlank="1" containsNumber="1" containsInteger="1" minValue="4224000" maxValue="4224000"/>
    </cacheField>
    <cacheField name="AVERAGE" numFmtId="0">
      <sharedItems containsString="0" containsBlank="1" containsNumber="1" minValue="29.12" maxValue="29.12"/>
    </cacheField>
    <cacheField name="MAX S" numFmtId="0">
      <sharedItems containsString="0" containsBlank="1" containsNumber="1" containsInteger="1" minValue="250000" maxValue="250000"/>
    </cacheField>
    <cacheField name="R.W" numFmtId="0">
      <sharedItems containsString="0" containsBlank="1" containsNumber="1" containsInteger="1" minValue="23" maxValue="23"/>
    </cacheField>
    <cacheField name="IT" numFmtId="0">
      <sharedItems containsString="0" containsBlank="1" containsNumber="1" containsInteger="1" minValue="17" maxValue="17"/>
    </cacheField>
    <cacheField name="A.CTC" numFmtId="0">
      <sharedItems containsSemiMixedTypes="0" containsString="0" containsNumber="1" minValue="300000" maxValue="3600000"/>
    </cacheField>
    <cacheField name="EXPERIENCE" numFmtId="0">
      <sharedItems containsSemiMixedTypes="0" containsString="0" containsNumber="1" containsInteger="1" minValue="1" maxValue="9" count="9">
        <n v="4"/>
        <n v="6"/>
        <n v="2"/>
        <n v="5"/>
        <n v="7"/>
        <n v="3"/>
        <n v="9"/>
        <n v="1"/>
        <n v="8"/>
      </sharedItems>
    </cacheField>
    <cacheField name="JOINING" numFmtId="0">
      <sharedItems/>
    </cacheField>
    <cacheField name="GRADE.EX" numFmtId="0">
      <sharedItems count="3">
        <s v="B"/>
        <s v="A"/>
        <s v="C"/>
      </sharedItems>
    </cacheField>
    <cacheField name="(H/L).CTC" numFmtId="0">
      <sharedItems count="2">
        <s v="LOW"/>
        <s v="HIGH"/>
      </sharedItems>
    </cacheField>
    <cacheField name="IT2" numFmtId="0">
      <sharedItems containsSemiMixedTypes="0" containsString="0" containsNumber="1" containsInteger="1" minValue="0" maxValue="1"/>
    </cacheField>
    <cacheField name="25&lt;avera" numFmtId="0">
      <sharedItems containsString="0" containsBlank="1" containsNumber="1" minValue="29.12" maxValue="29.12"/>
    </cacheField>
    <cacheField name="E025" numFmtId="0">
      <sharedItems containsString="0" containsBlank="1" containsNumber="1" containsInteger="1" minValue="69000" maxValue="69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E001"/>
    <s v="Aarav Sharma"/>
    <n v="28"/>
    <x v="0"/>
    <x v="0"/>
    <x v="0"/>
    <s v="Software Engineer"/>
    <d v="2022-03-15T00:00:00"/>
    <n v="75000"/>
    <n v="4.5"/>
    <n v="12"/>
    <n v="0.1"/>
    <s v="Yes"/>
    <n v="5"/>
    <s v="aarav.s@abc.com"/>
    <n v="9876543210"/>
    <n v="4224000"/>
    <n v="29.12"/>
    <n v="250000"/>
    <n v="23"/>
    <n v="17"/>
    <n v="990000.00000000012"/>
    <x v="0"/>
    <s v="15-Mar-2022"/>
    <x v="0"/>
    <x v="0"/>
    <n v="1"/>
    <n v="29.12"/>
    <n v="69000"/>
  </r>
  <r>
    <s v="E002"/>
    <s v="Vivaan Singh"/>
    <n v="32"/>
    <x v="0"/>
    <x v="1"/>
    <x v="1"/>
    <s v="Sales Manager"/>
    <d v="2020-01-10T00:00:00"/>
    <n v="95000"/>
    <n v="4.2"/>
    <n v="18"/>
    <n v="0.12"/>
    <s v="No"/>
    <n v="8"/>
    <s v="vivaan.s@abc.com"/>
    <n v="9876543211"/>
    <m/>
    <m/>
    <m/>
    <m/>
    <m/>
    <n v="1276800.0000000002"/>
    <x v="1"/>
    <s v="10-Jan-2020"/>
    <x v="1"/>
    <x v="1"/>
    <n v="0"/>
    <m/>
    <m/>
  </r>
  <r>
    <s v="E003"/>
    <s v="Aditya Kumar"/>
    <n v="25"/>
    <x v="0"/>
    <x v="2"/>
    <x v="0"/>
    <s v="Jr Developer"/>
    <d v="2023-08-22T00:00:00"/>
    <n v="45000"/>
    <n v="3.8"/>
    <n v="5"/>
    <n v="0.08"/>
    <s v="Yes"/>
    <n v="3"/>
    <s v="aditya.k@abc.com"/>
    <n v="9876543212"/>
    <m/>
    <m/>
    <m/>
    <m/>
    <m/>
    <n v="583200"/>
    <x v="2"/>
    <s v="22-Aug-2023"/>
    <x v="2"/>
    <x v="0"/>
    <n v="0"/>
    <m/>
    <m/>
  </r>
  <r>
    <s v="E004"/>
    <s v="Diya Patel"/>
    <n v="29"/>
    <x v="1"/>
    <x v="3"/>
    <x v="2"/>
    <s v="HR Executive"/>
    <d v="2021-06-05T00:00:00"/>
    <n v="55000"/>
    <n v="4.7"/>
    <n v="8"/>
    <n v="0.1"/>
    <s v="No"/>
    <n v="2"/>
    <s v="diya.p@abc.com"/>
    <n v="9876543213"/>
    <m/>
    <m/>
    <m/>
    <m/>
    <m/>
    <n v="726000.00000000012"/>
    <x v="3"/>
    <s v="05-Jun-2021"/>
    <x v="0"/>
    <x v="0"/>
    <n v="0"/>
    <m/>
    <m/>
  </r>
  <r>
    <s v="E005"/>
    <s v="Arjun Reddy"/>
    <n v="35"/>
    <x v="0"/>
    <x v="4"/>
    <x v="3"/>
    <s v="Accountant"/>
    <d v="2019-11-12T00:00:00"/>
    <n v="68000"/>
    <n v="4"/>
    <n v="15"/>
    <n v="0.1"/>
    <s v="No"/>
    <n v="6"/>
    <s v="arjun.r@abc.com"/>
    <n v="9876543214"/>
    <m/>
    <m/>
    <m/>
    <m/>
    <m/>
    <n v="897600.00000000012"/>
    <x v="1"/>
    <s v="12-Nov-2019"/>
    <x v="1"/>
    <x v="0"/>
    <n v="0"/>
    <m/>
    <m/>
  </r>
  <r>
    <s v="E006"/>
    <s v="Ananya Das"/>
    <n v="27"/>
    <x v="1"/>
    <x v="5"/>
    <x v="4"/>
    <s v="Digital Marketer"/>
    <d v="2022-02-18T00:00:00"/>
    <n v="62000"/>
    <n v="4.5999999999999996"/>
    <n v="10"/>
    <n v="0.11"/>
    <s v="Yes"/>
    <n v="4"/>
    <s v="ananya.d@abc.com"/>
    <n v="9876543215"/>
    <m/>
    <m/>
    <m/>
    <m/>
    <m/>
    <n v="825840.00000000012"/>
    <x v="0"/>
    <s v="18-Feb-2022"/>
    <x v="0"/>
    <x v="0"/>
    <n v="0"/>
    <m/>
    <m/>
  </r>
  <r>
    <s v="E007"/>
    <s v="Krishna Yadav"/>
    <n v="31"/>
    <x v="0"/>
    <x v="6"/>
    <x v="5"/>
    <s v="Ops Manager"/>
    <d v="2020-09-30T00:00:00"/>
    <n v="82000"/>
    <n v="3.9"/>
    <n v="14"/>
    <n v="0.09"/>
    <s v="No"/>
    <n v="7"/>
    <s v="krishna.y@abc.com"/>
    <n v="9876543216"/>
    <m/>
    <m/>
    <m/>
    <m/>
    <m/>
    <n v="1072560"/>
    <x v="3"/>
    <s v="30-Sep-2020"/>
    <x v="0"/>
    <x v="1"/>
    <n v="0"/>
    <m/>
    <m/>
  </r>
  <r>
    <s v="E008"/>
    <s v="Ishaan Joshi"/>
    <n v="24"/>
    <x v="0"/>
    <x v="7"/>
    <x v="0"/>
    <s v="Support Engineer"/>
    <d v="2023-07-14T00:00:00"/>
    <n v="42000"/>
    <n v="3.5"/>
    <n v="4"/>
    <n v="7.0000000000000007E-2"/>
    <s v="Yes"/>
    <n v="2"/>
    <s v="ishaan.j@abc.com"/>
    <n v="9876543217"/>
    <m/>
    <m/>
    <m/>
    <m/>
    <m/>
    <n v="539280"/>
    <x v="2"/>
    <s v="14-Jul-2023"/>
    <x v="2"/>
    <x v="0"/>
    <n v="0"/>
    <m/>
    <m/>
  </r>
  <r>
    <s v="E009"/>
    <s v="Kavya Nair"/>
    <n v="30"/>
    <x v="1"/>
    <x v="8"/>
    <x v="3"/>
    <s v="Sr Accountant"/>
    <d v="2019-04-25T00:00:00"/>
    <n v="78000"/>
    <n v="4.8"/>
    <n v="16"/>
    <n v="0.12"/>
    <s v="No"/>
    <n v="5"/>
    <s v="kavya.n@abc.com"/>
    <n v="9876543218"/>
    <m/>
    <m/>
    <m/>
    <m/>
    <m/>
    <n v="1048320.0000000001"/>
    <x v="4"/>
    <s v="25-Apr-2019"/>
    <x v="1"/>
    <x v="1"/>
    <n v="0"/>
    <m/>
    <m/>
  </r>
  <r>
    <s v="E010"/>
    <s v="Rohan Mehta"/>
    <n v="33"/>
    <x v="0"/>
    <x v="9"/>
    <x v="1"/>
    <s v="Area Manager"/>
    <d v="2018-12-08T00:00:00"/>
    <n v="105000"/>
    <n v="4.0999999999999996"/>
    <n v="22"/>
    <n v="0.15"/>
    <s v="No"/>
    <n v="10"/>
    <s v="rohan.m@abc.com"/>
    <n v="9876543219"/>
    <m/>
    <m/>
    <m/>
    <m/>
    <m/>
    <n v="1449000"/>
    <x v="4"/>
    <s v="08-Dec-2018"/>
    <x v="1"/>
    <x v="1"/>
    <n v="0"/>
    <m/>
    <m/>
  </r>
  <r>
    <s v="E011"/>
    <s v="Saanvi Gupta"/>
    <n v="26"/>
    <x v="1"/>
    <x v="10"/>
    <x v="2"/>
    <s v="Recruiter"/>
    <d v="2023-03-11T00:00:00"/>
    <n v="48000"/>
    <n v="4.3"/>
    <n v="6"/>
    <n v="0.08"/>
    <s v="Yes"/>
    <n v="3"/>
    <s v="saanvi.g@abc.com"/>
    <n v="9876543220"/>
    <m/>
    <m/>
    <m/>
    <m/>
    <m/>
    <n v="622080"/>
    <x v="5"/>
    <s v="11-Mar-2023"/>
    <x v="0"/>
    <x v="0"/>
    <n v="0"/>
    <m/>
    <m/>
  </r>
  <r>
    <s v="E012"/>
    <s v="Ayaan Khan"/>
    <n v="29"/>
    <x v="0"/>
    <x v="11"/>
    <x v="0"/>
    <s v="DevOps Engineer"/>
    <d v="2021-05-19T00:00:00"/>
    <n v="88000"/>
    <n v="4.4000000000000004"/>
    <n v="13"/>
    <n v="0.11"/>
    <s v="Yes"/>
    <n v="6"/>
    <s v="ayaan.k@abc.com"/>
    <n v="9876543221"/>
    <m/>
    <m/>
    <m/>
    <m/>
    <m/>
    <n v="1172160"/>
    <x v="3"/>
    <s v="19-May-2021"/>
    <x v="0"/>
    <x v="1"/>
    <n v="0"/>
    <m/>
    <m/>
  </r>
  <r>
    <s v="E013"/>
    <s v="Myra Agarwal"/>
    <n v="31"/>
    <x v="1"/>
    <x v="12"/>
    <x v="4"/>
    <s v="Brand Manager"/>
    <d v="2020-10-02T00:00:00"/>
    <n v="92000"/>
    <n v="4.9000000000000004"/>
    <n v="20"/>
    <n v="0.13"/>
    <s v="No"/>
    <n v="4"/>
    <s v="myra.a@abc.com"/>
    <n v="9876543222"/>
    <m/>
    <m/>
    <m/>
    <m/>
    <m/>
    <n v="1247519.9999999998"/>
    <x v="3"/>
    <s v="02-Oct-2020"/>
    <x v="0"/>
    <x v="1"/>
    <n v="0"/>
    <m/>
    <m/>
  </r>
  <r>
    <s v="E014"/>
    <s v="Vihaan Shah"/>
    <n v="27"/>
    <x v="0"/>
    <x v="13"/>
    <x v="5"/>
    <s v="Logistics Head"/>
    <d v="2022-01-16T00:00:00"/>
    <n v="70000"/>
    <n v="3.7"/>
    <n v="9"/>
    <n v="0.09"/>
    <s v="No"/>
    <n v="8"/>
    <s v="vihaan.s@abc.com"/>
    <n v="9876543223"/>
    <m/>
    <m/>
    <m/>
    <m/>
    <m/>
    <n v="915600.00000000012"/>
    <x v="0"/>
    <s v="16-Jan-2022"/>
    <x v="0"/>
    <x v="0"/>
    <n v="0"/>
    <m/>
    <m/>
  </r>
  <r>
    <s v="E015"/>
    <s v="Pari Verma"/>
    <n v="23"/>
    <x v="1"/>
    <x v="14"/>
    <x v="0"/>
    <s v="Intern"/>
    <d v="2024-06-01T00:00:00"/>
    <n v="25000"/>
    <n v="3.2"/>
    <n v="2"/>
    <n v="0"/>
    <s v="Yes"/>
    <n v="1"/>
    <s v="pari.v@abc.com"/>
    <n v="9876543224"/>
    <m/>
    <m/>
    <m/>
    <m/>
    <m/>
    <n v="300000"/>
    <x v="2"/>
    <s v="01-Jun-2024"/>
    <x v="2"/>
    <x v="0"/>
    <n v="0"/>
    <m/>
    <m/>
  </r>
  <r>
    <s v="E016"/>
    <s v="Atharv Mishra"/>
    <n v="34"/>
    <x v="0"/>
    <x v="15"/>
    <x v="3"/>
    <s v="Finance Manager"/>
    <d v="2018-08-07T00:00:00"/>
    <n v="115000"/>
    <n v="4.5999999999999996"/>
    <n v="25"/>
    <n v="0.15"/>
    <s v="No"/>
    <n v="9"/>
    <s v="atharv.m@abc.com"/>
    <n v="9876543225"/>
    <m/>
    <m/>
    <m/>
    <m/>
    <m/>
    <n v="1586999.9999999998"/>
    <x v="4"/>
    <s v="07-Aug-2018"/>
    <x v="1"/>
    <x v="1"/>
    <n v="0"/>
    <m/>
    <m/>
  </r>
  <r>
    <s v="E017"/>
    <s v="Sara Sheikh"/>
    <n v="28"/>
    <x v="1"/>
    <x v="16"/>
    <x v="1"/>
    <s v="Sales Executive"/>
    <d v="2021-11-23T00:00:00"/>
    <n v="58000"/>
    <n v="4"/>
    <n v="11"/>
    <n v="0.09"/>
    <s v="Yes"/>
    <n v="5"/>
    <s v="sara.s@abc.com"/>
    <n v="9876543226"/>
    <m/>
    <m/>
    <m/>
    <m/>
    <m/>
    <n v="758640"/>
    <x v="0"/>
    <s v="23-Nov-2021"/>
    <x v="0"/>
    <x v="0"/>
    <n v="0"/>
    <m/>
    <m/>
  </r>
  <r>
    <s v="E018"/>
    <s v="Reyansh Tiwari"/>
    <n v="30"/>
    <x v="0"/>
    <x v="17"/>
    <x v="0"/>
    <s v="Tech Lead"/>
    <d v="2019-09-09T00:00:00"/>
    <n v="125000"/>
    <n v="4.8"/>
    <n v="28"/>
    <n v="0.14000000000000001"/>
    <s v="No"/>
    <n v="7"/>
    <s v="reyansh.t@abc.com"/>
    <n v="9876543227"/>
    <m/>
    <m/>
    <m/>
    <m/>
    <m/>
    <n v="1710000.0000000002"/>
    <x v="1"/>
    <s v="09-Sep-2019"/>
    <x v="1"/>
    <x v="1"/>
    <n v="0"/>
    <m/>
    <m/>
  </r>
  <r>
    <s v="E019"/>
    <s v="Anika Roy"/>
    <n v="26"/>
    <x v="1"/>
    <x v="18"/>
    <x v="2"/>
    <s v="HR Manager"/>
    <d v="2020-02-14T00:00:00"/>
    <n v="85000"/>
    <n v="4.5"/>
    <n v="12"/>
    <n v="0.12"/>
    <s v="No"/>
    <n v="6"/>
    <s v="anika.r@abc.com"/>
    <n v="9876543228"/>
    <m/>
    <m/>
    <m/>
    <m/>
    <m/>
    <n v="1142400"/>
    <x v="1"/>
    <s v="14-Feb-2020"/>
    <x v="1"/>
    <x v="1"/>
    <n v="0"/>
    <m/>
    <m/>
  </r>
  <r>
    <s v="E020"/>
    <s v="Kabir Jain"/>
    <n v="32"/>
    <x v="0"/>
    <x v="19"/>
    <x v="4"/>
    <s v="SEO Specialist"/>
    <d v="2021-07-27T00:00:00"/>
    <n v="66000"/>
    <n v="4.2"/>
    <n v="14"/>
    <n v="0.1"/>
    <s v="Yes"/>
    <n v="4"/>
    <s v="kabir.j@abc.com"/>
    <n v="9876543229"/>
    <m/>
    <m/>
    <m/>
    <m/>
    <m/>
    <n v="871200.00000000012"/>
    <x v="0"/>
    <s v="27-Jul-2021"/>
    <x v="0"/>
    <x v="0"/>
    <n v="0"/>
    <m/>
    <m/>
  </r>
  <r>
    <s v="E021"/>
    <s v="Aadhya Malhotra"/>
    <n v="29"/>
    <x v="1"/>
    <x v="0"/>
    <x v="0"/>
    <s v="QA Engineer"/>
    <d v="2022-04-03T00:00:00"/>
    <n v="64000"/>
    <n v="4.0999999999999996"/>
    <n v="10"/>
    <n v="0.09"/>
    <s v="Yes"/>
    <n v="3"/>
    <s v="aadhya.m@abc.com"/>
    <n v="9876543230"/>
    <m/>
    <m/>
    <m/>
    <m/>
    <m/>
    <n v="837120.00000000012"/>
    <x v="0"/>
    <s v="03-Apr-2022"/>
    <x v="0"/>
    <x v="0"/>
    <n v="0"/>
    <m/>
    <m/>
  </r>
  <r>
    <s v="E022"/>
    <s v="Dhruv Saxena"/>
    <n v="35"/>
    <x v="0"/>
    <x v="1"/>
    <x v="5"/>
    <s v="VP Operations"/>
    <d v="2017-06-15T00:00:00"/>
    <n v="180000"/>
    <n v="4.9000000000000004"/>
    <n v="35"/>
    <n v="0.18"/>
    <s v="No"/>
    <n v="12"/>
    <s v="dhruv.s@abc.com"/>
    <n v="9876543231"/>
    <m/>
    <m/>
    <m/>
    <m/>
    <m/>
    <n v="2548800"/>
    <x v="6"/>
    <s v="15-Jun-2017"/>
    <x v="1"/>
    <x v="1"/>
    <n v="0"/>
    <m/>
    <m/>
  </r>
  <r>
    <s v="E023"/>
    <s v="Navya Kapoor"/>
    <n v="24"/>
    <x v="1"/>
    <x v="2"/>
    <x v="1"/>
    <s v="Trainee"/>
    <d v="2023-09-10T00:00:00"/>
    <n v="38000"/>
    <n v="3.6"/>
    <n v="3"/>
    <n v="0.05"/>
    <s v="No"/>
    <n v="2"/>
    <s v="navya.k@abc.com"/>
    <n v="9876543232"/>
    <m/>
    <m/>
    <m/>
    <m/>
    <m/>
    <n v="478800"/>
    <x v="2"/>
    <s v="10-Sep-2023"/>
    <x v="2"/>
    <x v="0"/>
    <n v="0"/>
    <m/>
    <m/>
  </r>
  <r>
    <s v="E024"/>
    <s v="Yuvaan Chauhan"/>
    <n v="31"/>
    <x v="0"/>
    <x v="3"/>
    <x v="0"/>
    <s v="Data Analyst"/>
    <d v="2020-12-21T00:00:00"/>
    <n v="72000"/>
    <n v="4.3"/>
    <n v="15"/>
    <n v="0.11"/>
    <s v="Yes"/>
    <n v="5"/>
    <s v="yuvaan.c@abc.com"/>
    <n v="9876543233"/>
    <m/>
    <m/>
    <m/>
    <m/>
    <m/>
    <n v="959040.00000000012"/>
    <x v="3"/>
    <s v="21-Dec-2020"/>
    <x v="0"/>
    <x v="0"/>
    <n v="0"/>
    <m/>
    <m/>
  </r>
  <r>
    <s v="E025"/>
    <s v="Kiara Bhatia"/>
    <n v="27"/>
    <x v="1"/>
    <x v="4"/>
    <x v="3"/>
    <s v="Auditor"/>
    <d v="2022-05-06T00:00:00"/>
    <n v="69000"/>
    <n v="4"/>
    <n v="11"/>
    <n v="0.1"/>
    <s v="No"/>
    <n v="4"/>
    <s v="kiara.b@abc.com"/>
    <n v="9876543234"/>
    <m/>
    <m/>
    <m/>
    <m/>
    <m/>
    <n v="910800.00000000012"/>
    <x v="0"/>
    <s v="06-May-2022"/>
    <x v="0"/>
    <x v="0"/>
    <n v="0"/>
    <m/>
    <m/>
  </r>
  <r>
    <s v="E026"/>
    <s v="Rudra Sinha"/>
    <n v="33"/>
    <x v="0"/>
    <x v="5"/>
    <x v="0"/>
    <s v="Backend Dev"/>
    <d v="2019-08-13T00:00:00"/>
    <n v="98000"/>
    <n v="4.7"/>
    <n v="20"/>
    <n v="0.13"/>
    <s v="Yes"/>
    <n v="8"/>
    <s v="rudra.s@abc.com"/>
    <n v="9876543235"/>
    <m/>
    <m/>
    <m/>
    <m/>
    <m/>
    <n v="1328879.9999999998"/>
    <x v="1"/>
    <s v="13-Aug-2019"/>
    <x v="1"/>
    <x v="1"/>
    <n v="0"/>
    <m/>
    <m/>
  </r>
  <r>
    <s v="E027"/>
    <s v="Tara Iyer"/>
    <n v="30"/>
    <x v="1"/>
    <x v="8"/>
    <x v="4"/>
    <s v="Content Head"/>
    <d v="2020-01-29T00:00:00"/>
    <n v="89000"/>
    <n v="4.8"/>
    <n v="18"/>
    <n v="0.12"/>
    <s v="No"/>
    <n v="5"/>
    <s v="tara.i@abc.com"/>
    <n v="9876543236"/>
    <m/>
    <m/>
    <m/>
    <m/>
    <m/>
    <n v="1196160"/>
    <x v="1"/>
    <s v="29-Jan-2020"/>
    <x v="1"/>
    <x v="1"/>
    <n v="0"/>
    <m/>
    <m/>
  </r>
  <r>
    <s v="E028"/>
    <s v="Veer Pandey"/>
    <n v="28"/>
    <x v="0"/>
    <x v="6"/>
    <x v="1"/>
    <s v="Regional Head"/>
    <d v="2019-03-17T00:00:00"/>
    <n v="110000"/>
    <n v="4.2"/>
    <n v="24"/>
    <n v="0.14000000000000001"/>
    <s v="No"/>
    <n v="9"/>
    <s v="veer.p@abc.com"/>
    <n v="9876543237"/>
    <m/>
    <m/>
    <m/>
    <m/>
    <m/>
    <n v="1504800.0000000002"/>
    <x v="4"/>
    <s v="17-Mar-2019"/>
    <x v="1"/>
    <x v="1"/>
    <n v="0"/>
    <m/>
    <m/>
  </r>
  <r>
    <s v="E029"/>
    <s v="Aisha Gill"/>
    <n v="25"/>
    <x v="1"/>
    <x v="7"/>
    <x v="2"/>
    <s v="HR Intern"/>
    <d v="2024-07-08T00:00:00"/>
    <n v="28000"/>
    <n v="3.4"/>
    <n v="1"/>
    <n v="0"/>
    <s v="Yes"/>
    <n v="1"/>
    <s v="aisha.g@abc.com"/>
    <n v="9876543238"/>
    <m/>
    <m/>
    <m/>
    <m/>
    <m/>
    <n v="336000"/>
    <x v="7"/>
    <s v="08-Jul-2024"/>
    <x v="2"/>
    <x v="0"/>
    <n v="0"/>
    <m/>
    <m/>
  </r>
  <r>
    <s v="E030"/>
    <s v="Samar Khanna"/>
    <n v="34"/>
    <x v="0"/>
    <x v="9"/>
    <x v="0"/>
    <s v="Frontend Dev"/>
    <d v="2018-11-12T00:00:00"/>
    <n v="102000"/>
    <n v="4.5999999999999996"/>
    <n v="22"/>
    <n v="0.13"/>
    <s v="Yes"/>
    <n v="7"/>
    <s v="samar.k@abc.com"/>
    <n v="9876543239"/>
    <m/>
    <m/>
    <m/>
    <m/>
    <m/>
    <n v="1383119.9999999998"/>
    <x v="4"/>
    <s v="12-Nov-2018"/>
    <x v="1"/>
    <x v="1"/>
    <n v="0"/>
    <m/>
    <m/>
  </r>
  <r>
    <s v="E031"/>
    <s v="Prisha Chawla"/>
    <n v="26"/>
    <x v="1"/>
    <x v="10"/>
    <x v="3"/>
    <s v="Jr Accountant"/>
    <d v="2023-04-04T00:00:00"/>
    <n v="46000"/>
    <n v="3.9"/>
    <n v="5"/>
    <n v="0.08"/>
    <s v="No"/>
    <n v="3"/>
    <s v="prisha.c@abc.com"/>
    <n v="9876543240"/>
    <m/>
    <m/>
    <m/>
    <m/>
    <m/>
    <n v="596160"/>
    <x v="5"/>
    <s v="04-Apr-2023"/>
    <x v="0"/>
    <x v="0"/>
    <n v="0"/>
    <m/>
    <m/>
  </r>
  <r>
    <s v="E032"/>
    <s v="Daksh Goel"/>
    <n v="29"/>
    <x v="0"/>
    <x v="11"/>
    <x v="5"/>
    <s v="Supervisor"/>
    <d v="2021-06-20T00:00:00"/>
    <n v="61000"/>
    <n v="3.8"/>
    <n v="9"/>
    <n v="0.09"/>
    <s v="No"/>
    <n v="6"/>
    <s v="daksh.g@abc.com"/>
    <n v="9876543241"/>
    <m/>
    <m/>
    <m/>
    <m/>
    <m/>
    <n v="797880.00000000012"/>
    <x v="3"/>
    <s v="20-Jun-2021"/>
    <x v="0"/>
    <x v="0"/>
    <n v="0"/>
    <m/>
    <m/>
  </r>
  <r>
    <s v="E033"/>
    <s v="Meher Bajaj"/>
    <n v="32"/>
    <x v="1"/>
    <x v="12"/>
    <x v="0"/>
    <s v="Product Manager"/>
    <d v="2019-02-01T00:00:00"/>
    <n v="135000"/>
    <n v="4.9000000000000004"/>
    <n v="30"/>
    <n v="0.16"/>
    <s v="Yes"/>
    <n v="10"/>
    <s v="meher.b@abc.com"/>
    <n v="9876543242"/>
    <m/>
    <m/>
    <m/>
    <m/>
    <m/>
    <n v="1879199.9999999998"/>
    <x v="4"/>
    <s v="01-Feb-2019"/>
    <x v="1"/>
    <x v="1"/>
    <n v="0"/>
    <m/>
    <m/>
  </r>
  <r>
    <s v="E034"/>
    <s v="Aryan Dutta"/>
    <n v="27"/>
    <x v="0"/>
    <x v="13"/>
    <x v="0"/>
    <s v="Sales Rep"/>
    <d v="2022-09-15T00:00:00"/>
    <n v="52000"/>
    <n v="4"/>
    <n v="8"/>
    <n v="0.09"/>
    <s v="Yes"/>
    <n v="4"/>
    <s v="aryan.d@abc.com"/>
    <n v="9876543243"/>
    <m/>
    <m/>
    <m/>
    <m/>
    <m/>
    <n v="680160"/>
    <x v="5"/>
    <s v="15-Sep-2022"/>
    <x v="0"/>
    <x v="0"/>
    <n v="0"/>
    <m/>
    <m/>
  </r>
  <r>
    <s v="E035"/>
    <s v="Anvi Rao"/>
    <n v="31"/>
    <x v="1"/>
    <x v="14"/>
    <x v="4"/>
    <s v="PR Manager"/>
    <d v="2019-10-26T00:00:00"/>
    <n v="94000"/>
    <n v="4.5"/>
    <n v="17"/>
    <n v="0.12"/>
    <s v="No"/>
    <n v="7"/>
    <s v="anvi.r@abc.com"/>
    <n v="9876543244"/>
    <m/>
    <m/>
    <m/>
    <m/>
    <m/>
    <n v="1263360.0000000002"/>
    <x v="1"/>
    <s v="26-Oct-2019"/>
    <x v="1"/>
    <x v="1"/>
    <n v="0"/>
    <m/>
    <m/>
  </r>
  <r>
    <s v="E036"/>
    <s v="Neil Arora"/>
    <n v="23"/>
    <x v="0"/>
    <x v="15"/>
    <x v="0"/>
    <s v="Intern"/>
    <d v="2024-05-18T00:00:00"/>
    <n v="26000"/>
    <n v="3.1"/>
    <n v="2"/>
    <n v="0"/>
    <s v="Yes"/>
    <n v="1"/>
    <s v="neil.a@abc.com"/>
    <n v="9876543245"/>
    <m/>
    <m/>
    <m/>
    <m/>
    <m/>
    <n v="312000"/>
    <x v="2"/>
    <s v="18-May-2024"/>
    <x v="2"/>
    <x v="0"/>
    <n v="0"/>
    <m/>
    <m/>
  </r>
  <r>
    <s v="E037"/>
    <s v="Avni Sethi"/>
    <n v="30"/>
    <x v="1"/>
    <x v="16"/>
    <x v="3"/>
    <s v="Tax Consultant"/>
    <d v="2020-12-09T00:00:00"/>
    <n v="86000"/>
    <n v="4.4000000000000004"/>
    <n v="16"/>
    <n v="0.11"/>
    <s v="No"/>
    <n v="5"/>
    <s v="avni.s@abc.com"/>
    <n v="9876543246"/>
    <m/>
    <m/>
    <m/>
    <m/>
    <m/>
    <n v="1145520"/>
    <x v="3"/>
    <s v="09-Dec-2020"/>
    <x v="0"/>
    <x v="1"/>
    <n v="0"/>
    <m/>
    <m/>
  </r>
  <r>
    <s v="E038"/>
    <s v="Shlok Menon"/>
    <n v="35"/>
    <x v="0"/>
    <x v="17"/>
    <x v="0"/>
    <s v="CTO"/>
    <d v="2016-07-11T00:00:00"/>
    <n v="250000"/>
    <n v="5"/>
    <n v="45"/>
    <n v="0.2"/>
    <s v="No"/>
    <n v="15"/>
    <s v="shlok.m@abc.com"/>
    <n v="9876543247"/>
    <m/>
    <m/>
    <m/>
    <m/>
    <m/>
    <n v="3600000"/>
    <x v="6"/>
    <s v="11-Jul-2016"/>
    <x v="1"/>
    <x v="1"/>
    <n v="0"/>
    <m/>
    <m/>
  </r>
  <r>
    <s v="E039"/>
    <s v="Trisha Bose"/>
    <n v="28"/>
    <x v="1"/>
    <x v="18"/>
    <x v="2"/>
    <s v="Training Head"/>
    <d v="2021-03-22T00:00:00"/>
    <n v="79000"/>
    <n v="4.5999999999999996"/>
    <n v="13"/>
    <n v="0.11"/>
    <s v="No"/>
    <n v="6"/>
    <s v="trisha.b@abc.com"/>
    <n v="9876543248"/>
    <m/>
    <m/>
    <m/>
    <m/>
    <m/>
    <n v="1052280"/>
    <x v="3"/>
    <s v="22-Mar-2021"/>
    <x v="0"/>
    <x v="1"/>
    <n v="0"/>
    <m/>
    <m/>
  </r>
  <r>
    <s v="E040"/>
    <s v="Kiaan Lamba"/>
    <n v="26"/>
    <x v="0"/>
    <x v="19"/>
    <x v="5"/>
    <s v="Fleet Manager"/>
    <d v="2022-08-07T00:00:00"/>
    <n v="67000"/>
    <n v="3.9"/>
    <n v="10"/>
    <n v="0.09"/>
    <s v="No"/>
    <n v="5"/>
    <s v="kiaan.l@abc.com"/>
    <n v="9876543249"/>
    <m/>
    <m/>
    <m/>
    <m/>
    <m/>
    <n v="876360.00000000012"/>
    <x v="5"/>
    <s v="07-Aug-2022"/>
    <x v="0"/>
    <x v="0"/>
    <n v="0"/>
    <m/>
    <m/>
  </r>
  <r>
    <s v="E041"/>
    <s v="Siya Mathur"/>
    <n v="29"/>
    <x v="1"/>
    <x v="0"/>
    <x v="1"/>
    <s v="Key Account Mgr"/>
    <d v="2020-01-14T00:00:00"/>
    <n v="99000"/>
    <n v="4.7"/>
    <n v="21"/>
    <n v="0.13"/>
    <s v="Yes"/>
    <n v="8"/>
    <s v="siya.m@abc.com"/>
    <n v="9876543250"/>
    <m/>
    <m/>
    <m/>
    <m/>
    <m/>
    <n v="1342439.9999999998"/>
    <x v="1"/>
    <s v="14-Jan-2020"/>
    <x v="1"/>
    <x v="1"/>
    <n v="0"/>
    <m/>
    <m/>
  </r>
  <r>
    <s v="E042"/>
    <s v="Nivaan Thakur"/>
    <n v="33"/>
    <x v="0"/>
    <x v="1"/>
    <x v="0"/>
    <s v="Cyber Security"/>
    <d v="2019-06-03T00:00:00"/>
    <n v="112000"/>
    <n v="4.8"/>
    <n v="24"/>
    <n v="0.14000000000000001"/>
    <s v="Yes"/>
    <n v="9"/>
    <s v="nivaan.t@abc.com"/>
    <n v="9876543251"/>
    <m/>
    <m/>
    <m/>
    <m/>
    <m/>
    <n v="1532160.0000000002"/>
    <x v="4"/>
    <s v="03-Jun-2019"/>
    <x v="1"/>
    <x v="1"/>
    <n v="0"/>
    <m/>
    <m/>
  </r>
  <r>
    <s v="E043"/>
    <s v="Reva Pillai"/>
    <n v="24"/>
    <x v="1"/>
    <x v="2"/>
    <x v="4"/>
    <s v="Social Media Mgr"/>
    <d v="2023-09-19T00:00:00"/>
    <n v="51000"/>
    <n v="4.0999999999999996"/>
    <n v="7"/>
    <n v="0.08"/>
    <s v="Yes"/>
    <n v="3"/>
    <s v="reva.p@abc.com"/>
    <n v="9876543252"/>
    <m/>
    <m/>
    <m/>
    <m/>
    <m/>
    <n v="660960"/>
    <x v="2"/>
    <s v="19-Sep-2023"/>
    <x v="2"/>
    <x v="0"/>
    <n v="0"/>
    <m/>
    <m/>
  </r>
  <r>
    <s v="E044"/>
    <s v="Dev Sharma"/>
    <n v="31"/>
    <x v="0"/>
    <x v="3"/>
    <x v="3"/>
    <s v="Cost Analyst"/>
    <d v="2021-02-28T00:00:00"/>
    <n v="73000"/>
    <n v="4.2"/>
    <n v="12"/>
    <n v="0.1"/>
    <s v="No"/>
    <n v="6"/>
    <s v="dev.s@abc.com"/>
    <n v="9876543253"/>
    <m/>
    <m/>
    <m/>
    <m/>
    <m/>
    <n v="963600.00000000012"/>
    <x v="3"/>
    <s v="28-Feb-2021"/>
    <x v="0"/>
    <x v="0"/>
    <n v="0"/>
    <m/>
    <m/>
  </r>
  <r>
    <s v="E045"/>
    <s v="Ira Bansal"/>
    <n v="27"/>
    <x v="1"/>
    <x v="4"/>
    <x v="0"/>
    <s v="UI/UX Designer"/>
    <d v="2022-05-10T00:00:00"/>
    <n v="76000"/>
    <n v="4.5"/>
    <n v="14"/>
    <n v="0.11"/>
    <s v="Yes"/>
    <n v="4"/>
    <s v="ira.b@abc.com"/>
    <n v="9876543254"/>
    <m/>
    <m/>
    <m/>
    <m/>
    <m/>
    <n v="1012320.0000000001"/>
    <x v="0"/>
    <s v="10-May-2022"/>
    <x v="0"/>
    <x v="1"/>
    <n v="0"/>
    <m/>
    <m/>
  </r>
  <r>
    <s v="E046"/>
    <s v="Raunak Garg"/>
    <n v="34"/>
    <x v="0"/>
    <x v="5"/>
    <x v="5"/>
    <s v="Plant Head"/>
    <d v="2018-11-05T00:00:00"/>
    <n v="108000"/>
    <n v="4.3"/>
    <n v="26"/>
    <n v="0.14000000000000001"/>
    <s v="No"/>
    <n v="11"/>
    <s v="raunak.g@abc.com"/>
    <n v="9876543255"/>
    <m/>
    <m/>
    <m/>
    <m/>
    <m/>
    <n v="1477440.0000000002"/>
    <x v="4"/>
    <s v="05-Nov-2018"/>
    <x v="1"/>
    <x v="1"/>
    <n v="0"/>
    <m/>
    <m/>
  </r>
  <r>
    <s v="E047"/>
    <s v="Naina Ahuja"/>
    <n v="25"/>
    <x v="1"/>
    <x v="8"/>
    <x v="1"/>
    <s v="Business Dev"/>
    <d v="2023-07-16T00:00:00"/>
    <n v="54000"/>
    <n v="3.8"/>
    <n v="6"/>
    <n v="0.08"/>
    <s v="Yes"/>
    <n v="3"/>
    <s v="naina.a@abc.com"/>
    <n v="9876543256"/>
    <m/>
    <m/>
    <m/>
    <m/>
    <m/>
    <n v="699840"/>
    <x v="2"/>
    <s v="16-Jul-2023"/>
    <x v="2"/>
    <x v="0"/>
    <n v="0"/>
    <m/>
    <m/>
  </r>
  <r>
    <s v="E048"/>
    <s v="Ehaan Chopra"/>
    <n v="30"/>
    <x v="0"/>
    <x v="6"/>
    <x v="0"/>
    <s v="Cloud Architect"/>
    <d v="2020-04-21T00:00:00"/>
    <n v="140000"/>
    <n v="4.9000000000000004"/>
    <n v="32"/>
    <n v="0.17"/>
    <s v="Yes"/>
    <n v="10"/>
    <s v="ehaan.c@abc.com"/>
    <n v="9876543257"/>
    <m/>
    <m/>
    <m/>
    <m/>
    <m/>
    <n v="1965599.9999999998"/>
    <x v="1"/>
    <s v="21-Apr-2020"/>
    <x v="1"/>
    <x v="1"/>
    <n v="0"/>
    <m/>
    <m/>
  </r>
  <r>
    <s v="E049"/>
    <s v="Gauri Dubey"/>
    <n v="28"/>
    <x v="1"/>
    <x v="7"/>
    <x v="2"/>
    <s v="Comp &amp; Ben Mgr"/>
    <d v="2019-12-02T00:00:00"/>
    <n v="91000"/>
    <n v="4.5999999999999996"/>
    <n v="19"/>
    <n v="0.12"/>
    <s v="No"/>
    <n v="7"/>
    <s v="gauri.d@abc.com"/>
    <n v="9876543258"/>
    <m/>
    <m/>
    <m/>
    <m/>
    <m/>
    <n v="1223040"/>
    <x v="1"/>
    <s v="02-Dec-2019"/>
    <x v="1"/>
    <x v="1"/>
    <n v="0"/>
    <m/>
    <m/>
  </r>
  <r>
    <s v="E050"/>
    <s v="Om Kohli"/>
    <n v="32"/>
    <x v="0"/>
    <x v="9"/>
    <x v="4"/>
    <s v="CMO"/>
    <d v="2017-08-17T00:00:00"/>
    <n v="195000"/>
    <n v="4.9000000000000004"/>
    <n v="40"/>
    <n v="0.18"/>
    <s v="No"/>
    <n v="13"/>
    <s v="om.k@abc.com"/>
    <n v="9876543259"/>
    <m/>
    <m/>
    <m/>
    <m/>
    <m/>
    <n v="2761200"/>
    <x v="8"/>
    <s v="17-Aug-2017"/>
    <x v="1"/>
    <x v="1"/>
    <n v="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935A3B-2486-4C34-B7FA-7767AE87AE4F}" name="PivotTable2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7" firstHeaderRow="1" firstDataRow="1" firstDataCol="1"/>
  <pivotFields count="29"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numFmtId="9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ame="GRADE"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</pivotFields>
  <rowFields count="1">
    <field x="2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CTC BY GRADE" fld="21" subtotal="average" baseField="24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3E7AF2-57B4-4F79-9BEB-D2A91EDA94B7}" name="PivotTable3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3" firstHeaderRow="1" firstDataRow="1" firstDataCol="1"/>
  <pivotFields count="29"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dataField="1" numFmtId="9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ame="YEARS OF EXPERIENCE" axis="axisRow" showAll="0">
      <items count="10">
        <item x="7"/>
        <item x="2"/>
        <item x="5"/>
        <item x="0"/>
        <item x="3"/>
        <item x="1"/>
        <item x="4"/>
        <item x="8"/>
        <item x="6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2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f Bonus %" fld="11" subtotal="average" baseField="22" baseItem="0" numFmtId="9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1A23C9-06DA-4B9E-8E08-90F7A1C4DD42}" name="Table1" displayName="Table1" ref="A1:AK51" totalsRowShown="0">
  <autoFilter ref="A1:AK51" xr:uid="{F31A23C9-06DA-4B9E-8E08-90F7A1C4DD42}"/>
  <tableColumns count="37">
    <tableColumn id="1" xr3:uid="{62B2D36C-22C9-4C98-92DE-531DD06A9899}" name="Emp ID"/>
    <tableColumn id="2" xr3:uid="{119CA221-84D3-4A04-B7A0-0CDD8B83983D}" name="Name"/>
    <tableColumn id="3" xr3:uid="{22E3B1CB-753C-4327-985D-AF5F5B5CB65E}" name="Age"/>
    <tableColumn id="4" xr3:uid="{AF541AC6-824A-4675-87C8-0106AE3E4E0F}" name="Gender"/>
    <tableColumn id="5" xr3:uid="{11BAA42C-D9D6-4200-BDBE-7535F738C205}" name="City"/>
    <tableColumn id="6" xr3:uid="{D4D64DAF-9617-4449-8E2F-F921222E662D}" name="Department"/>
    <tableColumn id="7" xr3:uid="{9211EB9A-EAD8-4893-9345-399C108F97E7}" name="Designation"/>
    <tableColumn id="8" xr3:uid="{AE459A39-1418-44DF-9CD2-BE0C9BD59A19}" name="Joining Date" dataDxfId="17"/>
    <tableColumn id="9" xr3:uid="{3160A87C-51F4-42A9-972B-1B6EE64CE35D}" name="Salary" dataDxfId="16"/>
    <tableColumn id="10" xr3:uid="{E9BAB19E-2E27-4606-8E6D-D01B13C05676}" name="Performance Rating"/>
    <tableColumn id="11" xr3:uid="{B06B8AC4-B301-4299-A25A-1B1BF44CE640}" name="Projects Done"/>
    <tableColumn id="12" xr3:uid="{3488B255-B356-4D7E-A3CE-5EB6DFCA124C}" name="Bonus %" dataDxfId="15"/>
    <tableColumn id="13" xr3:uid="{3BB26697-DDA9-45EE-A2F0-5350C1DAE5AF}" name="Remote"/>
    <tableColumn id="14" xr3:uid="{3668643B-FE8B-46BA-9E4D-CC616028C0CC}" name="Leaves Taken"/>
    <tableColumn id="15" xr3:uid="{BF3F9CCC-63AB-4820-8EBA-6BF47F59A0BE}" name="Email ID"/>
    <tableColumn id="16" xr3:uid="{6C75A8B5-0A41-4BB9-8A77-94517A0DCA20}" name="Phone"/>
    <tableColumn id="17" xr3:uid="{CC8600C6-EDF5-4414-9FB9-09B822666E6A}" name="TOTAL SALARY "/>
    <tableColumn id="18" xr3:uid="{CFE388BB-EE7F-432D-BB2A-ABCE02008FDA}" name="AVERAGE"/>
    <tableColumn id="19" xr3:uid="{E2838D42-3BE8-4760-8D82-29297327EF21}" name="MAX S"/>
    <tableColumn id="20" xr3:uid="{418D0AB0-64A6-4DAC-AB69-CA4C68B4D3BC}" name="R.W"/>
    <tableColumn id="21" xr3:uid="{42E50986-444C-4272-8F65-4399128038CA}" name="IT"/>
    <tableColumn id="22" xr3:uid="{E2D54258-2036-445D-B381-D7E5855642AD}" name="ACTC">
      <calculatedColumnFormula>I2*12*(1+L2)</calculatedColumnFormula>
    </tableColumn>
    <tableColumn id="23" xr3:uid="{32202966-38D9-481A-B7EF-1FC17556F9B5}" name="EXPERIENCE" dataDxfId="14">
      <calculatedColumnFormula>DATEDIF(Table1[[#This Row],[Joining Date]],TODAY(),"Y")</calculatedColumnFormula>
    </tableColumn>
    <tableColumn id="24" xr3:uid="{7191B61C-86E4-4F7A-AF9A-1139CCDE0499}" name="JOINING" dataDxfId="13">
      <calculatedColumnFormula>TEXT(Table1[[#This Row],[Joining Date]],"DD-MMM-YYYY")</calculatedColumnFormula>
    </tableColumn>
    <tableColumn id="25" xr3:uid="{CC4283B8-D5E7-4BC8-B771-54767473F116}" name="GRADE_EX" dataDxfId="12">
      <calculatedColumnFormula array="1">_xlfn.IFS(Table1[[#This Row],[EXPERIENCE]]&gt;=6,"A",Table1[[#This Row],[EXPERIENCE]]&gt;=3,"B",TRUE,"C")</calculatedColumnFormula>
    </tableColumn>
    <tableColumn id="26" xr3:uid="{BAE04B53-EA87-4655-B86E-31306C190CE1}" name="HI-LO_CTC" dataDxfId="11">
      <calculatedColumnFormula>IF(Table1[[#This Row],[ACTC]]&gt;=1000000,"HIGH","LOW")</calculatedColumnFormula>
    </tableColumn>
    <tableColumn id="27" xr3:uid="{E3BA87BD-6962-41DB-910B-73C4C8A337E2}" name="IT2" dataDxfId="10">
      <calculatedColumnFormula>COUNTIF(U2:U51,"&gt;10")</calculatedColumnFormula>
    </tableColumn>
    <tableColumn id="28" xr3:uid="{40D043AD-12FD-4F87-B14D-921A3B83E287}" name="25&lt;avera" dataDxfId="9"/>
    <tableColumn id="29" xr3:uid="{10A97D1C-FF1D-42B4-9E39-E21EF6016932}" name="E025" dataDxfId="8"/>
    <tableColumn id="30" xr3:uid="{BA8F681A-AB09-462D-9E5E-C4D2D597FF7D}" name="PIP RISK" dataDxfId="7">
      <calculatedColumnFormula>IF(AND(L2&gt;7,J2&lt;4), "PIP RISK", "SAFE")</calculatedColumnFormula>
    </tableColumn>
    <tableColumn id="31" xr3:uid="{2F309D48-F083-4533-BDCC-50485CECE6D9}" name="BONUS" dataDxfId="6">
      <calculatedColumnFormula array="1">_xlfn.SWITCH(F2, "IT",12%,"HR",10%,"SALES",15%,8%)</calculatedColumnFormula>
    </tableColumn>
    <tableColumn id="32" xr3:uid="{00EBAFD2-0243-484E-91FC-AEDC61B7570A}" name="NAME FORM EMAIL" dataDxfId="5">
      <calculatedColumnFormula>LEFT(Table1[[#This Row],[Email ID]],FIND("@",Table1[[#This Row],[Email ID]])-1)</calculatedColumnFormula>
    </tableColumn>
    <tableColumn id="33" xr3:uid="{50C6E164-D3D3-4700-9DCF-9930E25C4EC7}" name="IT_SALARY" dataDxfId="4">
      <calculatedColumnFormula>SUMIFS(Table1[Salary], Table1[Department], "IT")</calculatedColumnFormula>
    </tableColumn>
    <tableColumn id="34" xr3:uid="{D0FDFC11-2329-4BEF-AD94-A9924EF889E7}" name="DELHI_M-E" dataDxfId="3">
      <calculatedColumnFormula>COUNTIFS( Table1[Gender], "M", Table1[City], "Delhi")</calculatedColumnFormula>
    </tableColumn>
    <tableColumn id="35" xr3:uid="{C68D75E1-823C-47EB-A840-0FAFA8140008}" name="SALES_AVG-PER" dataDxfId="2">
      <calculatedColumnFormula>AVERAGEIFS(Table1[Performance Rating],Table1[Department], "Sales")</calculatedColumnFormula>
    </tableColumn>
    <tableColumn id="36" xr3:uid="{0F65ADB6-9ED9-496F-B6B8-57B26AA66E23}" name="remote_FEM-SAL" dataDxfId="1">
      <calculatedColumnFormula>SUMIFS(Table1[Salary],Table1[Gender], "F",Table1[Remote], "YES")</calculatedColumnFormula>
    </tableColumn>
    <tableColumn id="37" xr3:uid="{4042D72B-E7BE-4236-983D-5831ACDBB7A3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B0402-C498-43ED-BF8F-3FE5AA1664CC}">
  <dimension ref="A3:B7"/>
  <sheetViews>
    <sheetView tabSelected="1" workbookViewId="0">
      <selection activeCell="L15" sqref="L15"/>
    </sheetView>
  </sheetViews>
  <sheetFormatPr defaultRowHeight="14.4" x14ac:dyDescent="0.3"/>
  <cols>
    <col min="1" max="1" width="12.5546875" bestFit="1" customWidth="1"/>
    <col min="2" max="2" width="21.77734375" bestFit="1" customWidth="1"/>
  </cols>
  <sheetData>
    <row r="3" spans="1:2" x14ac:dyDescent="0.3">
      <c r="A3" s="3" t="s">
        <v>253</v>
      </c>
      <c r="B3" t="s">
        <v>269</v>
      </c>
    </row>
    <row r="4" spans="1:2" x14ac:dyDescent="0.3">
      <c r="A4" s="4" t="s">
        <v>267</v>
      </c>
      <c r="B4">
        <v>1624634.2857142857</v>
      </c>
    </row>
    <row r="5" spans="1:2" x14ac:dyDescent="0.3">
      <c r="A5" s="4" t="s">
        <v>255</v>
      </c>
      <c r="B5">
        <v>906325.71428571432</v>
      </c>
    </row>
    <row r="6" spans="1:2" x14ac:dyDescent="0.3">
      <c r="A6" s="4" t="s">
        <v>268</v>
      </c>
      <c r="B6">
        <v>488760</v>
      </c>
    </row>
    <row r="7" spans="1:2" x14ac:dyDescent="0.3">
      <c r="A7" s="4" t="s">
        <v>254</v>
      </c>
      <c r="B7">
        <v>1141204.8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FE204-DD11-4C77-9A81-653BE89D153D}">
  <dimension ref="A3:B13"/>
  <sheetViews>
    <sheetView workbookViewId="0">
      <selection activeCell="F23" sqref="F23"/>
    </sheetView>
  </sheetViews>
  <sheetFormatPr defaultRowHeight="14.4" x14ac:dyDescent="0.3"/>
  <cols>
    <col min="1" max="1" width="12.5546875" bestFit="1" customWidth="1"/>
    <col min="2" max="2" width="17.88671875" bestFit="1" customWidth="1"/>
  </cols>
  <sheetData>
    <row r="3" spans="1:2" x14ac:dyDescent="0.3">
      <c r="A3" s="3" t="s">
        <v>253</v>
      </c>
      <c r="B3" t="s">
        <v>270</v>
      </c>
    </row>
    <row r="4" spans="1:2" x14ac:dyDescent="0.3">
      <c r="A4" s="4">
        <v>1</v>
      </c>
      <c r="B4" s="2">
        <v>0</v>
      </c>
    </row>
    <row r="5" spans="1:2" x14ac:dyDescent="0.3">
      <c r="A5" s="4">
        <v>2</v>
      </c>
      <c r="B5" s="2">
        <v>5.1428571428571435E-2</v>
      </c>
    </row>
    <row r="6" spans="1:2" x14ac:dyDescent="0.3">
      <c r="A6" s="4">
        <v>3</v>
      </c>
      <c r="B6" s="2">
        <v>8.4999999999999992E-2</v>
      </c>
    </row>
    <row r="7" spans="1:2" x14ac:dyDescent="0.3">
      <c r="A7" s="4">
        <v>4</v>
      </c>
      <c r="B7" s="2">
        <v>9.8749999999999991E-2</v>
      </c>
    </row>
    <row r="8" spans="1:2" x14ac:dyDescent="0.3">
      <c r="A8" s="4">
        <v>5</v>
      </c>
      <c r="B8" s="2">
        <v>0.10555555555555556</v>
      </c>
    </row>
    <row r="9" spans="1:2" x14ac:dyDescent="0.3">
      <c r="A9" s="4">
        <v>6</v>
      </c>
      <c r="B9" s="2">
        <v>0.127</v>
      </c>
    </row>
    <row r="10" spans="1:2" x14ac:dyDescent="0.3">
      <c r="A10" s="4">
        <v>7</v>
      </c>
      <c r="B10" s="2">
        <v>0.14125000000000001</v>
      </c>
    </row>
    <row r="11" spans="1:2" x14ac:dyDescent="0.3">
      <c r="A11" s="4">
        <v>8</v>
      </c>
      <c r="B11" s="2">
        <v>0.18</v>
      </c>
    </row>
    <row r="12" spans="1:2" x14ac:dyDescent="0.3">
      <c r="A12" s="4">
        <v>9</v>
      </c>
      <c r="B12" s="2">
        <v>0.19</v>
      </c>
    </row>
    <row r="13" spans="1:2" x14ac:dyDescent="0.3">
      <c r="A13" s="4" t="s">
        <v>254</v>
      </c>
      <c r="B13" s="2">
        <v>0.10799999999999998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949A9-7555-405D-8DA5-A7238391F16D}">
  <dimension ref="A1:AK51"/>
  <sheetViews>
    <sheetView topLeftCell="A2" workbookViewId="0">
      <selection activeCell="AD6" sqref="AD6"/>
    </sheetView>
  </sheetViews>
  <sheetFormatPr defaultRowHeight="14.4" x14ac:dyDescent="0.3"/>
  <cols>
    <col min="1" max="1" width="9.21875" bestFit="1" customWidth="1"/>
    <col min="2" max="2" width="15.109375" bestFit="1" customWidth="1"/>
    <col min="3" max="3" width="6.44140625" bestFit="1" customWidth="1"/>
    <col min="4" max="4" width="9.33203125" bestFit="1" customWidth="1"/>
    <col min="5" max="5" width="10.6640625" bestFit="1" customWidth="1"/>
    <col min="6" max="6" width="13.33203125" bestFit="1" customWidth="1"/>
    <col min="7" max="7" width="16" bestFit="1" customWidth="1"/>
    <col min="8" max="8" width="13.44140625" bestFit="1" customWidth="1"/>
    <col min="9" max="9" width="10.88671875" bestFit="1" customWidth="1"/>
    <col min="10" max="10" width="20.109375" bestFit="1" customWidth="1"/>
    <col min="11" max="11" width="14.88671875" bestFit="1" customWidth="1"/>
    <col min="12" max="12" width="10.33203125" bestFit="1" customWidth="1"/>
    <col min="13" max="13" width="9.77734375" bestFit="1" customWidth="1"/>
    <col min="14" max="14" width="14.44140625" bestFit="1" customWidth="1"/>
    <col min="15" max="15" width="18" bestFit="1" customWidth="1"/>
    <col min="16" max="16" width="11" bestFit="1" customWidth="1"/>
    <col min="17" max="17" width="16.109375" bestFit="1" customWidth="1"/>
    <col min="18" max="18" width="11.21875" bestFit="1" customWidth="1"/>
    <col min="19" max="19" width="8.77734375" bestFit="1" customWidth="1"/>
    <col min="20" max="20" width="6.6640625" bestFit="1" customWidth="1"/>
    <col min="21" max="21" width="4.77734375" bestFit="1" customWidth="1"/>
    <col min="22" max="22" width="8" bestFit="1" customWidth="1"/>
    <col min="23" max="23" width="13.5546875" bestFit="1" customWidth="1"/>
    <col min="24" max="24" width="11.88671875" bestFit="1" customWidth="1"/>
    <col min="25" max="26" width="12.109375" bestFit="1" customWidth="1"/>
    <col min="27" max="27" width="5.77734375" bestFit="1" customWidth="1"/>
    <col min="28" max="28" width="10.88671875" bestFit="1" customWidth="1"/>
    <col min="29" max="29" width="7.21875" bestFit="1" customWidth="1"/>
    <col min="30" max="30" width="10.21875" bestFit="1" customWidth="1"/>
    <col min="31" max="31" width="9.33203125" bestFit="1" customWidth="1"/>
    <col min="32" max="32" width="20.21875" bestFit="1" customWidth="1"/>
    <col min="33" max="33" width="12.21875" bestFit="1" customWidth="1"/>
    <col min="34" max="34" width="12.5546875" bestFit="1" customWidth="1"/>
    <col min="35" max="35" width="17" bestFit="1" customWidth="1"/>
    <col min="36" max="36" width="17.88671875" bestFit="1" customWidth="1"/>
    <col min="37" max="37" width="10.77734375" bestFit="1" customWidth="1"/>
  </cols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245</v>
      </c>
      <c r="R1" t="s">
        <v>246</v>
      </c>
      <c r="S1" t="s">
        <v>247</v>
      </c>
      <c r="T1" t="s">
        <v>248</v>
      </c>
      <c r="U1" t="s">
        <v>20</v>
      </c>
      <c r="V1" t="s">
        <v>259</v>
      </c>
      <c r="W1" t="s">
        <v>249</v>
      </c>
      <c r="X1" t="s">
        <v>250</v>
      </c>
      <c r="Y1" t="s">
        <v>262</v>
      </c>
      <c r="Z1" t="s">
        <v>261</v>
      </c>
      <c r="AA1" t="s">
        <v>251</v>
      </c>
      <c r="AB1" t="s">
        <v>252</v>
      </c>
      <c r="AC1" t="s">
        <v>142</v>
      </c>
      <c r="AD1" t="s">
        <v>256</v>
      </c>
      <c r="AE1" t="s">
        <v>257</v>
      </c>
      <c r="AF1" t="s">
        <v>258</v>
      </c>
      <c r="AG1" t="s">
        <v>260</v>
      </c>
      <c r="AH1" t="s">
        <v>263</v>
      </c>
      <c r="AI1" t="s">
        <v>264</v>
      </c>
      <c r="AJ1" t="s">
        <v>265</v>
      </c>
      <c r="AK1" t="s">
        <v>266</v>
      </c>
    </row>
    <row r="2" spans="1:37" x14ac:dyDescent="0.3">
      <c r="A2" t="s">
        <v>16</v>
      </c>
      <c r="B2" t="s">
        <v>17</v>
      </c>
      <c r="C2">
        <v>28</v>
      </c>
      <c r="D2" t="s">
        <v>18</v>
      </c>
      <c r="E2" t="s">
        <v>19</v>
      </c>
      <c r="F2" t="s">
        <v>20</v>
      </c>
      <c r="G2" t="s">
        <v>21</v>
      </c>
      <c r="H2" s="1">
        <v>44635</v>
      </c>
      <c r="I2" s="5">
        <v>75000</v>
      </c>
      <c r="J2">
        <v>4.5</v>
      </c>
      <c r="K2">
        <v>12</v>
      </c>
      <c r="L2" s="2">
        <v>0.1</v>
      </c>
      <c r="M2" t="s">
        <v>22</v>
      </c>
      <c r="N2">
        <v>5</v>
      </c>
      <c r="O2" t="s">
        <v>23</v>
      </c>
      <c r="P2">
        <v>9876543210</v>
      </c>
      <c r="Q2">
        <f>SUM(Table1[Salary])</f>
        <v>4224000</v>
      </c>
      <c r="R2">
        <f>AVERAGE(Table1[Age])</f>
        <v>29.12</v>
      </c>
      <c r="S2">
        <f>MAX(Table1[Salary])</f>
        <v>250000</v>
      </c>
      <c r="T2">
        <f>COUNTIF(M2:M51,"YES")</f>
        <v>23</v>
      </c>
      <c r="U2">
        <f>COUNTIF(F2:F51,"IT")</f>
        <v>17</v>
      </c>
      <c r="V2">
        <f t="shared" ref="V2:V33" si="0">I2*12*(1+L2)</f>
        <v>990000.00000000012</v>
      </c>
      <c r="W2">
        <f ca="1">DATEDIF(Table1[[#This Row],[Joining Date]],TODAY(),"Y")</f>
        <v>4</v>
      </c>
      <c r="X2" t="str">
        <f>TEXT(Table1[[#This Row],[Joining Date]],"DD-MMM-YYYY")</f>
        <v>15-Mar-2022</v>
      </c>
      <c r="Y2" t="str" cm="1">
        <f t="array" aca="1" ref="Y2" ca="1">_xlfn.IFS(Table1[[#This Row],[EXPERIENCE]]&gt;=6,"A",Table1[[#This Row],[EXPERIENCE]]&gt;=3,"B",TRUE,"C")</f>
        <v>B</v>
      </c>
      <c r="Z2" t="str">
        <f>IF(Table1[[#This Row],[ACTC]]&gt;=1000000,"HIGH","LOW")</f>
        <v>LOW</v>
      </c>
      <c r="AA2">
        <f t="shared" ref="AA2:AA33" si="1">COUNTIF(U2:U51,"&gt;10")</f>
        <v>1</v>
      </c>
      <c r="AB2">
        <f>AVERAGEIF(Table1[R.W],"&lt;25",Table1[AVERAGE])</f>
        <v>29.12</v>
      </c>
      <c r="AC2">
        <f>VLOOKUP("E025",A:I, 9, FALSE)</f>
        <v>69000</v>
      </c>
      <c r="AD2" t="str">
        <f t="shared" ref="AD2:AD33" si="2">IF(AND(L2&gt;7,J2&lt;4), "PIP RISK", "SAFE")</f>
        <v>SAFE</v>
      </c>
      <c r="AE2" cm="1">
        <f t="array" ref="AE2">_xlfn.SWITCH(F2, "IT",12%,"HR",10%,"SALES",15%,8%)</f>
        <v>0.12</v>
      </c>
      <c r="AF2" t="str">
        <f>LEFT(Table1[[#This Row],[Email ID]],FIND("@",Table1[[#This Row],[Email ID]])-1)</f>
        <v>aarav.s</v>
      </c>
      <c r="AG2">
        <f>SUMIFS(Table1[Salary], Table1[Department], "IT")</f>
        <v>1527000</v>
      </c>
      <c r="AH2">
        <f>COUNTIFS( Table1[Gender], "M", Table1[City], "Delhi")</f>
        <v>1</v>
      </c>
      <c r="AI2">
        <f>AVERAGEIFS(Table1[Performance Rating],Table1[Department], "Sales")</f>
        <v>4.0857142857142863</v>
      </c>
      <c r="AJ2">
        <f>SUMIFS(Table1[Salary],Table1[Gender], "F",Table1[Remote], "YES")</f>
        <v>700000</v>
      </c>
    </row>
    <row r="3" spans="1:37" x14ac:dyDescent="0.3">
      <c r="A3" t="s">
        <v>24</v>
      </c>
      <c r="B3" t="s">
        <v>25</v>
      </c>
      <c r="C3">
        <v>32</v>
      </c>
      <c r="D3" t="s">
        <v>18</v>
      </c>
      <c r="E3" t="s">
        <v>26</v>
      </c>
      <c r="F3" t="s">
        <v>27</v>
      </c>
      <c r="G3" t="s">
        <v>28</v>
      </c>
      <c r="H3" s="1">
        <v>43840</v>
      </c>
      <c r="I3" s="5">
        <v>95000</v>
      </c>
      <c r="J3">
        <v>4.2</v>
      </c>
      <c r="K3">
        <v>18</v>
      </c>
      <c r="L3" s="2">
        <v>0.12</v>
      </c>
      <c r="M3" t="s">
        <v>29</v>
      </c>
      <c r="N3">
        <v>8</v>
      </c>
      <c r="O3" t="s">
        <v>30</v>
      </c>
      <c r="P3">
        <v>9876543211</v>
      </c>
      <c r="V3">
        <f t="shared" si="0"/>
        <v>1276800.0000000002</v>
      </c>
      <c r="W3">
        <f ca="1">DATEDIF(Table1[[#This Row],[Joining Date]],TODAY(),"Y")</f>
        <v>6</v>
      </c>
      <c r="X3" t="str">
        <f>TEXT(Table1[[#This Row],[Joining Date]],"DD-MMM-YYYY")</f>
        <v>10-Jan-2020</v>
      </c>
      <c r="Y3" t="str" cm="1">
        <f t="array" aca="1" ref="Y3" ca="1">_xlfn.IFS(Table1[[#This Row],[EXPERIENCE]]&gt;=6,"A",Table1[[#This Row],[EXPERIENCE]]&gt;=3,"B",TRUE,"C")</f>
        <v>A</v>
      </c>
      <c r="Z3" t="str">
        <f>IF(Table1[[#This Row],[ACTC]]&gt;=1000000,"HIGH","LOW")</f>
        <v>HIGH</v>
      </c>
      <c r="AA3">
        <f t="shared" si="1"/>
        <v>0</v>
      </c>
      <c r="AD3" t="str">
        <f t="shared" si="2"/>
        <v>SAFE</v>
      </c>
      <c r="AE3" cm="1">
        <f t="array" ref="AE3">_xlfn.SWITCH(F3, "IT",12%,"HR",10%,"SALES",15%,8%)</f>
        <v>0.15</v>
      </c>
      <c r="AF3" t="str">
        <f>LEFT(Table1[[#This Row],[Email ID]],FIND("@",Table1[[#This Row],[Email ID]])-1)</f>
        <v>vivaan.s</v>
      </c>
    </row>
    <row r="4" spans="1:37" x14ac:dyDescent="0.3">
      <c r="A4" t="s">
        <v>31</v>
      </c>
      <c r="B4" t="s">
        <v>32</v>
      </c>
      <c r="C4">
        <v>25</v>
      </c>
      <c r="D4" t="s">
        <v>18</v>
      </c>
      <c r="E4" t="s">
        <v>33</v>
      </c>
      <c r="F4" t="s">
        <v>20</v>
      </c>
      <c r="G4" t="s">
        <v>34</v>
      </c>
      <c r="H4" s="1">
        <v>45160</v>
      </c>
      <c r="I4" s="5">
        <v>45000</v>
      </c>
      <c r="J4">
        <v>3.8</v>
      </c>
      <c r="K4">
        <v>5</v>
      </c>
      <c r="L4" s="2">
        <v>0.08</v>
      </c>
      <c r="M4" t="s">
        <v>22</v>
      </c>
      <c r="N4">
        <v>3</v>
      </c>
      <c r="O4" t="s">
        <v>35</v>
      </c>
      <c r="P4">
        <v>9876543212</v>
      </c>
      <c r="V4">
        <f t="shared" si="0"/>
        <v>583200</v>
      </c>
      <c r="W4">
        <f ca="1">DATEDIF(Table1[[#This Row],[Joining Date]],TODAY(),"Y")</f>
        <v>2</v>
      </c>
      <c r="X4" t="str">
        <f>TEXT(Table1[[#This Row],[Joining Date]],"DD-MMM-YYYY")</f>
        <v>22-Aug-2023</v>
      </c>
      <c r="Y4" t="str" cm="1">
        <f t="array" aca="1" ref="Y4" ca="1">_xlfn.IFS(Table1[[#This Row],[EXPERIENCE]]&gt;=6,"A",Table1[[#This Row],[EXPERIENCE]]&gt;=3,"B",TRUE,"C")</f>
        <v>C</v>
      </c>
      <c r="Z4" t="str">
        <f>IF(Table1[[#This Row],[ACTC]]&gt;=1000000,"HIGH","LOW")</f>
        <v>LOW</v>
      </c>
      <c r="AA4">
        <f t="shared" si="1"/>
        <v>0</v>
      </c>
      <c r="AD4" t="str">
        <f t="shared" si="2"/>
        <v>SAFE</v>
      </c>
      <c r="AE4" cm="1">
        <f t="array" ref="AE4">_xlfn.SWITCH(F4, "IT",12%,"HR",10%,"SALES",15%,8%)</f>
        <v>0.12</v>
      </c>
      <c r="AF4" t="str">
        <f>LEFT(Table1[[#This Row],[Email ID]],FIND("@",Table1[[#This Row],[Email ID]])-1)</f>
        <v>aditya.k</v>
      </c>
    </row>
    <row r="5" spans="1:37" x14ac:dyDescent="0.3">
      <c r="A5" t="s">
        <v>36</v>
      </c>
      <c r="B5" t="s">
        <v>37</v>
      </c>
      <c r="C5">
        <v>29</v>
      </c>
      <c r="D5" t="s">
        <v>38</v>
      </c>
      <c r="E5" t="s">
        <v>39</v>
      </c>
      <c r="F5" t="s">
        <v>40</v>
      </c>
      <c r="G5" t="s">
        <v>41</v>
      </c>
      <c r="H5" s="1">
        <v>44352</v>
      </c>
      <c r="I5" s="5">
        <v>55000</v>
      </c>
      <c r="J5">
        <v>4.7</v>
      </c>
      <c r="K5">
        <v>8</v>
      </c>
      <c r="L5" s="2">
        <v>0.1</v>
      </c>
      <c r="M5" t="s">
        <v>29</v>
      </c>
      <c r="N5">
        <v>2</v>
      </c>
      <c r="O5" t="s">
        <v>42</v>
      </c>
      <c r="P5">
        <v>9876543213</v>
      </c>
      <c r="V5">
        <f t="shared" si="0"/>
        <v>726000.00000000012</v>
      </c>
      <c r="W5">
        <f ca="1">DATEDIF(Table1[[#This Row],[Joining Date]],TODAY(),"Y")</f>
        <v>5</v>
      </c>
      <c r="X5" t="str">
        <f>TEXT(Table1[[#This Row],[Joining Date]],"DD-MMM-YYYY")</f>
        <v>05-Jun-2021</v>
      </c>
      <c r="Y5" t="str" cm="1">
        <f t="array" aca="1" ref="Y5" ca="1">_xlfn.IFS(Table1[[#This Row],[EXPERIENCE]]&gt;=6,"A",Table1[[#This Row],[EXPERIENCE]]&gt;=3,"B",TRUE,"C")</f>
        <v>B</v>
      </c>
      <c r="Z5" t="str">
        <f>IF(Table1[[#This Row],[ACTC]]&gt;=1000000,"HIGH","LOW")</f>
        <v>LOW</v>
      </c>
      <c r="AA5">
        <f t="shared" si="1"/>
        <v>0</v>
      </c>
      <c r="AD5" t="str">
        <f t="shared" si="2"/>
        <v>SAFE</v>
      </c>
      <c r="AE5" cm="1">
        <f t="array" ref="AE5">_xlfn.SWITCH(F5, "IT",12%,"HR",10%,"SALES",15%,8%)</f>
        <v>0.1</v>
      </c>
      <c r="AF5" t="str">
        <f>LEFT(Table1[[#This Row],[Email ID]],FIND("@",Table1[[#This Row],[Email ID]])-1)</f>
        <v>diya.p</v>
      </c>
    </row>
    <row r="6" spans="1:37" x14ac:dyDescent="0.3">
      <c r="A6" t="s">
        <v>43</v>
      </c>
      <c r="B6" t="s">
        <v>44</v>
      </c>
      <c r="C6">
        <v>35</v>
      </c>
      <c r="D6" t="s">
        <v>18</v>
      </c>
      <c r="E6" t="s">
        <v>45</v>
      </c>
      <c r="F6" t="s">
        <v>46</v>
      </c>
      <c r="G6" t="s">
        <v>47</v>
      </c>
      <c r="H6" s="1">
        <v>43781</v>
      </c>
      <c r="I6" s="5">
        <v>68000</v>
      </c>
      <c r="J6">
        <v>4</v>
      </c>
      <c r="K6">
        <v>15</v>
      </c>
      <c r="L6" s="2">
        <v>0.1</v>
      </c>
      <c r="M6" t="s">
        <v>29</v>
      </c>
      <c r="N6">
        <v>6</v>
      </c>
      <c r="O6" t="s">
        <v>48</v>
      </c>
      <c r="P6">
        <v>9876543214</v>
      </c>
      <c r="V6">
        <f t="shared" si="0"/>
        <v>897600.00000000012</v>
      </c>
      <c r="W6">
        <f ca="1">DATEDIF(Table1[[#This Row],[Joining Date]],TODAY(),"Y")</f>
        <v>6</v>
      </c>
      <c r="X6" t="str">
        <f>TEXT(Table1[[#This Row],[Joining Date]],"DD-MMM-YYYY")</f>
        <v>12-Nov-2019</v>
      </c>
      <c r="Y6" t="str" cm="1">
        <f t="array" aca="1" ref="Y6" ca="1">_xlfn.IFS(Table1[[#This Row],[EXPERIENCE]]&gt;=6,"A",Table1[[#This Row],[EXPERIENCE]]&gt;=3,"B",TRUE,"C")</f>
        <v>A</v>
      </c>
      <c r="Z6" t="str">
        <f>IF(Table1[[#This Row],[ACTC]]&gt;=1000000,"HIGH","LOW")</f>
        <v>LOW</v>
      </c>
      <c r="AA6">
        <f t="shared" si="1"/>
        <v>0</v>
      </c>
      <c r="AD6" t="str">
        <f t="shared" si="2"/>
        <v>SAFE</v>
      </c>
      <c r="AE6" cm="1">
        <f t="array" ref="AE6">_xlfn.SWITCH(F6, "IT",12%,"HR",10%,"SALES",15%,8%)</f>
        <v>0.08</v>
      </c>
      <c r="AF6" t="str">
        <f>LEFT(Table1[[#This Row],[Email ID]],FIND("@",Table1[[#This Row],[Email ID]])-1)</f>
        <v>arjun.r</v>
      </c>
    </row>
    <row r="7" spans="1:37" x14ac:dyDescent="0.3">
      <c r="A7" t="s">
        <v>49</v>
      </c>
      <c r="B7" t="s">
        <v>50</v>
      </c>
      <c r="C7">
        <v>27</v>
      </c>
      <c r="D7" t="s">
        <v>38</v>
      </c>
      <c r="E7" t="s">
        <v>51</v>
      </c>
      <c r="F7" t="s">
        <v>52</v>
      </c>
      <c r="G7" t="s">
        <v>53</v>
      </c>
      <c r="H7" s="1">
        <v>44610</v>
      </c>
      <c r="I7" s="5">
        <v>62000</v>
      </c>
      <c r="J7">
        <v>4.5999999999999996</v>
      </c>
      <c r="K7">
        <v>10</v>
      </c>
      <c r="L7" s="2">
        <v>0.11</v>
      </c>
      <c r="M7" t="s">
        <v>22</v>
      </c>
      <c r="N7">
        <v>4</v>
      </c>
      <c r="O7" t="s">
        <v>54</v>
      </c>
      <c r="P7">
        <v>9876543215</v>
      </c>
      <c r="V7">
        <f t="shared" si="0"/>
        <v>825840.00000000012</v>
      </c>
      <c r="W7">
        <f ca="1">DATEDIF(Table1[[#This Row],[Joining Date]],TODAY(),"Y")</f>
        <v>4</v>
      </c>
      <c r="X7" t="str">
        <f>TEXT(Table1[[#This Row],[Joining Date]],"DD-MMM-YYYY")</f>
        <v>18-Feb-2022</v>
      </c>
      <c r="Y7" t="str" cm="1">
        <f t="array" aca="1" ref="Y7" ca="1">_xlfn.IFS(Table1[[#This Row],[EXPERIENCE]]&gt;=6,"A",Table1[[#This Row],[EXPERIENCE]]&gt;=3,"B",TRUE,"C")</f>
        <v>B</v>
      </c>
      <c r="Z7" t="str">
        <f>IF(Table1[[#This Row],[ACTC]]&gt;=1000000,"HIGH","LOW")</f>
        <v>LOW</v>
      </c>
      <c r="AA7">
        <f t="shared" si="1"/>
        <v>0</v>
      </c>
      <c r="AD7" t="str">
        <f t="shared" si="2"/>
        <v>SAFE</v>
      </c>
      <c r="AE7" cm="1">
        <f t="array" ref="AE7">_xlfn.SWITCH(F7, "IT",12%,"HR",10%,"SALES",15%,8%)</f>
        <v>0.08</v>
      </c>
      <c r="AF7" t="str">
        <f>LEFT(Table1[[#This Row],[Email ID]],FIND("@",Table1[[#This Row],[Email ID]])-1)</f>
        <v>ananya.d</v>
      </c>
    </row>
    <row r="8" spans="1:37" x14ac:dyDescent="0.3">
      <c r="A8" t="s">
        <v>55</v>
      </c>
      <c r="B8" t="s">
        <v>56</v>
      </c>
      <c r="C8">
        <v>31</v>
      </c>
      <c r="D8" t="s">
        <v>18</v>
      </c>
      <c r="E8" t="s">
        <v>57</v>
      </c>
      <c r="F8" t="s">
        <v>58</v>
      </c>
      <c r="G8" t="s">
        <v>59</v>
      </c>
      <c r="H8" s="1">
        <v>44104</v>
      </c>
      <c r="I8" s="5">
        <v>82000</v>
      </c>
      <c r="J8">
        <v>3.9</v>
      </c>
      <c r="K8">
        <v>14</v>
      </c>
      <c r="L8" s="2">
        <v>0.09</v>
      </c>
      <c r="M8" t="s">
        <v>29</v>
      </c>
      <c r="N8">
        <v>7</v>
      </c>
      <c r="O8" t="s">
        <v>60</v>
      </c>
      <c r="P8">
        <v>9876543216</v>
      </c>
      <c r="V8">
        <f t="shared" si="0"/>
        <v>1072560</v>
      </c>
      <c r="W8">
        <f ca="1">DATEDIF(Table1[[#This Row],[Joining Date]],TODAY(),"Y")</f>
        <v>5</v>
      </c>
      <c r="X8" t="str">
        <f>TEXT(Table1[[#This Row],[Joining Date]],"DD-MMM-YYYY")</f>
        <v>30-Sep-2020</v>
      </c>
      <c r="Y8" t="str" cm="1">
        <f t="array" aca="1" ref="Y8" ca="1">_xlfn.IFS(Table1[[#This Row],[EXPERIENCE]]&gt;=6,"A",Table1[[#This Row],[EXPERIENCE]]&gt;=3,"B",TRUE,"C")</f>
        <v>B</v>
      </c>
      <c r="Z8" t="str">
        <f>IF(Table1[[#This Row],[ACTC]]&gt;=1000000,"HIGH","LOW")</f>
        <v>HIGH</v>
      </c>
      <c r="AA8">
        <f t="shared" si="1"/>
        <v>0</v>
      </c>
      <c r="AD8" t="str">
        <f t="shared" si="2"/>
        <v>SAFE</v>
      </c>
      <c r="AE8" cm="1">
        <f t="array" ref="AE8">_xlfn.SWITCH(F8, "IT",12%,"HR",10%,"SALES",15%,8%)</f>
        <v>0.08</v>
      </c>
      <c r="AF8" t="str">
        <f>LEFT(Table1[[#This Row],[Email ID]],FIND("@",Table1[[#This Row],[Email ID]])-1)</f>
        <v>krishna.y</v>
      </c>
    </row>
    <row r="9" spans="1:37" x14ac:dyDescent="0.3">
      <c r="A9" t="s">
        <v>61</v>
      </c>
      <c r="B9" t="s">
        <v>62</v>
      </c>
      <c r="C9">
        <v>24</v>
      </c>
      <c r="D9" t="s">
        <v>18</v>
      </c>
      <c r="E9" t="s">
        <v>63</v>
      </c>
      <c r="F9" t="s">
        <v>20</v>
      </c>
      <c r="G9" t="s">
        <v>64</v>
      </c>
      <c r="H9" s="1">
        <v>45121</v>
      </c>
      <c r="I9" s="5">
        <v>42000</v>
      </c>
      <c r="J9">
        <v>3.5</v>
      </c>
      <c r="K9">
        <v>4</v>
      </c>
      <c r="L9" s="2">
        <v>7.0000000000000007E-2</v>
      </c>
      <c r="M9" t="s">
        <v>22</v>
      </c>
      <c r="N9">
        <v>2</v>
      </c>
      <c r="O9" t="s">
        <v>65</v>
      </c>
      <c r="P9">
        <v>9876543217</v>
      </c>
      <c r="V9">
        <f t="shared" si="0"/>
        <v>539280</v>
      </c>
      <c r="W9">
        <f ca="1">DATEDIF(Table1[[#This Row],[Joining Date]],TODAY(),"Y")</f>
        <v>3</v>
      </c>
      <c r="X9" t="str">
        <f>TEXT(Table1[[#This Row],[Joining Date]],"DD-MMM-YYYY")</f>
        <v>14-Jul-2023</v>
      </c>
      <c r="Y9" t="str" cm="1">
        <f t="array" aca="1" ref="Y9" ca="1">_xlfn.IFS(Table1[[#This Row],[EXPERIENCE]]&gt;=6,"A",Table1[[#This Row],[EXPERIENCE]]&gt;=3,"B",TRUE,"C")</f>
        <v>B</v>
      </c>
      <c r="Z9" t="str">
        <f>IF(Table1[[#This Row],[ACTC]]&gt;=1000000,"HIGH","LOW")</f>
        <v>LOW</v>
      </c>
      <c r="AA9">
        <f t="shared" si="1"/>
        <v>0</v>
      </c>
      <c r="AD9" t="str">
        <f t="shared" si="2"/>
        <v>SAFE</v>
      </c>
      <c r="AE9" cm="1">
        <f t="array" ref="AE9">_xlfn.SWITCH(F9, "IT",12%,"HR",10%,"SALES",15%,8%)</f>
        <v>0.12</v>
      </c>
      <c r="AF9" t="str">
        <f>LEFT(Table1[[#This Row],[Email ID]],FIND("@",Table1[[#This Row],[Email ID]])-1)</f>
        <v>ishaan.j</v>
      </c>
    </row>
    <row r="10" spans="1:37" x14ac:dyDescent="0.3">
      <c r="A10" t="s">
        <v>66</v>
      </c>
      <c r="B10" t="s">
        <v>67</v>
      </c>
      <c r="C10">
        <v>30</v>
      </c>
      <c r="D10" t="s">
        <v>38</v>
      </c>
      <c r="E10" t="s">
        <v>68</v>
      </c>
      <c r="F10" t="s">
        <v>46</v>
      </c>
      <c r="G10" t="s">
        <v>69</v>
      </c>
      <c r="H10" s="1">
        <v>43580</v>
      </c>
      <c r="I10" s="5">
        <v>78000</v>
      </c>
      <c r="J10">
        <v>4.8</v>
      </c>
      <c r="K10">
        <v>16</v>
      </c>
      <c r="L10" s="2">
        <v>0.12</v>
      </c>
      <c r="M10" t="s">
        <v>29</v>
      </c>
      <c r="N10">
        <v>5</v>
      </c>
      <c r="O10" t="s">
        <v>70</v>
      </c>
      <c r="P10">
        <v>9876543218</v>
      </c>
      <c r="V10">
        <f t="shared" si="0"/>
        <v>1048320.0000000001</v>
      </c>
      <c r="W10">
        <f ca="1">DATEDIF(Table1[[#This Row],[Joining Date]],TODAY(),"Y")</f>
        <v>7</v>
      </c>
      <c r="X10" t="str">
        <f>TEXT(Table1[[#This Row],[Joining Date]],"DD-MMM-YYYY")</f>
        <v>25-Apr-2019</v>
      </c>
      <c r="Y10" t="str" cm="1">
        <f t="array" aca="1" ref="Y10" ca="1">_xlfn.IFS(Table1[[#This Row],[EXPERIENCE]]&gt;=6,"A",Table1[[#This Row],[EXPERIENCE]]&gt;=3,"B",TRUE,"C")</f>
        <v>A</v>
      </c>
      <c r="Z10" t="str">
        <f>IF(Table1[[#This Row],[ACTC]]&gt;=1000000,"HIGH","LOW")</f>
        <v>HIGH</v>
      </c>
      <c r="AA10">
        <f t="shared" si="1"/>
        <v>0</v>
      </c>
      <c r="AD10" t="str">
        <f t="shared" si="2"/>
        <v>SAFE</v>
      </c>
      <c r="AE10" cm="1">
        <f t="array" ref="AE10">_xlfn.SWITCH(F10, "IT",12%,"HR",10%,"SALES",15%,8%)</f>
        <v>0.08</v>
      </c>
      <c r="AF10" t="str">
        <f>LEFT(Table1[[#This Row],[Email ID]],FIND("@",Table1[[#This Row],[Email ID]])-1)</f>
        <v>kavya.n</v>
      </c>
    </row>
    <row r="11" spans="1:37" x14ac:dyDescent="0.3">
      <c r="A11" t="s">
        <v>71</v>
      </c>
      <c r="B11" t="s">
        <v>72</v>
      </c>
      <c r="C11">
        <v>33</v>
      </c>
      <c r="D11" t="s">
        <v>18</v>
      </c>
      <c r="E11" t="s">
        <v>73</v>
      </c>
      <c r="F11" t="s">
        <v>27</v>
      </c>
      <c r="G11" t="s">
        <v>74</v>
      </c>
      <c r="H11" s="1">
        <v>43442</v>
      </c>
      <c r="I11" s="5">
        <v>105000</v>
      </c>
      <c r="J11">
        <v>4.0999999999999996</v>
      </c>
      <c r="K11">
        <v>22</v>
      </c>
      <c r="L11" s="2">
        <v>0.15</v>
      </c>
      <c r="M11" t="s">
        <v>29</v>
      </c>
      <c r="N11">
        <v>10</v>
      </c>
      <c r="O11" t="s">
        <v>75</v>
      </c>
      <c r="P11">
        <v>9876543219</v>
      </c>
      <c r="V11">
        <f t="shared" si="0"/>
        <v>1449000</v>
      </c>
      <c r="W11">
        <f ca="1">DATEDIF(Table1[[#This Row],[Joining Date]],TODAY(),"Y")</f>
        <v>7</v>
      </c>
      <c r="X11" t="str">
        <f>TEXT(Table1[[#This Row],[Joining Date]],"DD-MMM-YYYY")</f>
        <v>08-Dec-2018</v>
      </c>
      <c r="Y11" t="str" cm="1">
        <f t="array" aca="1" ref="Y11" ca="1">_xlfn.IFS(Table1[[#This Row],[EXPERIENCE]]&gt;=6,"A",Table1[[#This Row],[EXPERIENCE]]&gt;=3,"B",TRUE,"C")</f>
        <v>A</v>
      </c>
      <c r="Z11" t="str">
        <f>IF(Table1[[#This Row],[ACTC]]&gt;=1000000,"HIGH","LOW")</f>
        <v>HIGH</v>
      </c>
      <c r="AA11">
        <f t="shared" si="1"/>
        <v>0</v>
      </c>
      <c r="AD11" t="str">
        <f t="shared" si="2"/>
        <v>SAFE</v>
      </c>
      <c r="AE11" cm="1">
        <f t="array" ref="AE11">_xlfn.SWITCH(F11, "IT",12%,"HR",10%,"SALES",15%,8%)</f>
        <v>0.15</v>
      </c>
      <c r="AF11" t="str">
        <f>LEFT(Table1[[#This Row],[Email ID]],FIND("@",Table1[[#This Row],[Email ID]])-1)</f>
        <v>rohan.m</v>
      </c>
    </row>
    <row r="12" spans="1:37" x14ac:dyDescent="0.3">
      <c r="A12" t="s">
        <v>76</v>
      </c>
      <c r="B12" t="s">
        <v>77</v>
      </c>
      <c r="C12">
        <v>26</v>
      </c>
      <c r="D12" t="s">
        <v>38</v>
      </c>
      <c r="E12" t="s">
        <v>78</v>
      </c>
      <c r="F12" t="s">
        <v>40</v>
      </c>
      <c r="G12" t="s">
        <v>79</v>
      </c>
      <c r="H12" s="1">
        <v>44996</v>
      </c>
      <c r="I12" s="5">
        <v>48000</v>
      </c>
      <c r="J12">
        <v>4.3</v>
      </c>
      <c r="K12">
        <v>6</v>
      </c>
      <c r="L12" s="2">
        <v>0.08</v>
      </c>
      <c r="M12" t="s">
        <v>22</v>
      </c>
      <c r="N12">
        <v>3</v>
      </c>
      <c r="O12" t="s">
        <v>80</v>
      </c>
      <c r="P12">
        <v>9876543220</v>
      </c>
      <c r="V12">
        <f t="shared" si="0"/>
        <v>622080</v>
      </c>
      <c r="W12">
        <f ca="1">DATEDIF(Table1[[#This Row],[Joining Date]],TODAY(),"Y")</f>
        <v>3</v>
      </c>
      <c r="X12" t="str">
        <f>TEXT(Table1[[#This Row],[Joining Date]],"DD-MMM-YYYY")</f>
        <v>11-Mar-2023</v>
      </c>
      <c r="Y12" t="str" cm="1">
        <f t="array" aca="1" ref="Y12" ca="1">_xlfn.IFS(Table1[[#This Row],[EXPERIENCE]]&gt;=6,"A",Table1[[#This Row],[EXPERIENCE]]&gt;=3,"B",TRUE,"C")</f>
        <v>B</v>
      </c>
      <c r="Z12" t="str">
        <f>IF(Table1[[#This Row],[ACTC]]&gt;=1000000,"HIGH","LOW")</f>
        <v>LOW</v>
      </c>
      <c r="AA12">
        <f t="shared" si="1"/>
        <v>0</v>
      </c>
      <c r="AD12" t="str">
        <f t="shared" si="2"/>
        <v>SAFE</v>
      </c>
      <c r="AE12" cm="1">
        <f t="array" ref="AE12">_xlfn.SWITCH(F12, "IT",12%,"HR",10%,"SALES",15%,8%)</f>
        <v>0.1</v>
      </c>
      <c r="AF12" t="str">
        <f>LEFT(Table1[[#This Row],[Email ID]],FIND("@",Table1[[#This Row],[Email ID]])-1)</f>
        <v>saanvi.g</v>
      </c>
    </row>
    <row r="13" spans="1:37" x14ac:dyDescent="0.3">
      <c r="A13" t="s">
        <v>81</v>
      </c>
      <c r="B13" t="s">
        <v>82</v>
      </c>
      <c r="C13">
        <v>29</v>
      </c>
      <c r="D13" t="s">
        <v>18</v>
      </c>
      <c r="E13" t="s">
        <v>83</v>
      </c>
      <c r="F13" t="s">
        <v>20</v>
      </c>
      <c r="G13" t="s">
        <v>84</v>
      </c>
      <c r="H13" s="1">
        <v>44335</v>
      </c>
      <c r="I13" s="5">
        <v>88000</v>
      </c>
      <c r="J13">
        <v>4.4000000000000004</v>
      </c>
      <c r="K13">
        <v>13</v>
      </c>
      <c r="L13" s="2">
        <v>0.11</v>
      </c>
      <c r="M13" t="s">
        <v>22</v>
      </c>
      <c r="N13">
        <v>6</v>
      </c>
      <c r="O13" t="s">
        <v>85</v>
      </c>
      <c r="P13">
        <v>9876543221</v>
      </c>
      <c r="V13">
        <f t="shared" si="0"/>
        <v>1172160</v>
      </c>
      <c r="W13">
        <f ca="1">DATEDIF(Table1[[#This Row],[Joining Date]],TODAY(),"Y")</f>
        <v>5</v>
      </c>
      <c r="X13" t="str">
        <f>TEXT(Table1[[#This Row],[Joining Date]],"DD-MMM-YYYY")</f>
        <v>19-May-2021</v>
      </c>
      <c r="Y13" t="str" cm="1">
        <f t="array" aca="1" ref="Y13" ca="1">_xlfn.IFS(Table1[[#This Row],[EXPERIENCE]]&gt;=6,"A",Table1[[#This Row],[EXPERIENCE]]&gt;=3,"B",TRUE,"C")</f>
        <v>B</v>
      </c>
      <c r="Z13" t="str">
        <f>IF(Table1[[#This Row],[ACTC]]&gt;=1000000,"HIGH","LOW")</f>
        <v>HIGH</v>
      </c>
      <c r="AA13">
        <f t="shared" si="1"/>
        <v>0</v>
      </c>
      <c r="AD13" t="str">
        <f t="shared" si="2"/>
        <v>SAFE</v>
      </c>
      <c r="AE13" cm="1">
        <f t="array" ref="AE13">_xlfn.SWITCH(F13, "IT",12%,"HR",10%,"SALES",15%,8%)</f>
        <v>0.12</v>
      </c>
      <c r="AF13" t="str">
        <f>LEFT(Table1[[#This Row],[Email ID]],FIND("@",Table1[[#This Row],[Email ID]])-1)</f>
        <v>ayaan.k</v>
      </c>
    </row>
    <row r="14" spans="1:37" x14ac:dyDescent="0.3">
      <c r="A14" t="s">
        <v>86</v>
      </c>
      <c r="B14" t="s">
        <v>87</v>
      </c>
      <c r="C14">
        <v>31</v>
      </c>
      <c r="D14" t="s">
        <v>38</v>
      </c>
      <c r="E14" t="s">
        <v>88</v>
      </c>
      <c r="F14" t="s">
        <v>52</v>
      </c>
      <c r="G14" t="s">
        <v>89</v>
      </c>
      <c r="H14" s="1">
        <v>44106</v>
      </c>
      <c r="I14" s="5">
        <v>92000</v>
      </c>
      <c r="J14">
        <v>4.9000000000000004</v>
      </c>
      <c r="K14">
        <v>20</v>
      </c>
      <c r="L14" s="2">
        <v>0.13</v>
      </c>
      <c r="M14" t="s">
        <v>29</v>
      </c>
      <c r="N14">
        <v>4</v>
      </c>
      <c r="O14" t="s">
        <v>90</v>
      </c>
      <c r="P14">
        <v>9876543222</v>
      </c>
      <c r="V14">
        <f t="shared" si="0"/>
        <v>1247519.9999999998</v>
      </c>
      <c r="W14">
        <f ca="1">DATEDIF(Table1[[#This Row],[Joining Date]],TODAY(),"Y")</f>
        <v>5</v>
      </c>
      <c r="X14" t="str">
        <f>TEXT(Table1[[#This Row],[Joining Date]],"DD-MMM-YYYY")</f>
        <v>02-Oct-2020</v>
      </c>
      <c r="Y14" t="str" cm="1">
        <f t="array" aca="1" ref="Y14" ca="1">_xlfn.IFS(Table1[[#This Row],[EXPERIENCE]]&gt;=6,"A",Table1[[#This Row],[EXPERIENCE]]&gt;=3,"B",TRUE,"C")</f>
        <v>B</v>
      </c>
      <c r="Z14" t="str">
        <f>IF(Table1[[#This Row],[ACTC]]&gt;=1000000,"HIGH","LOW")</f>
        <v>HIGH</v>
      </c>
      <c r="AA14">
        <f t="shared" si="1"/>
        <v>0</v>
      </c>
      <c r="AD14" t="str">
        <f t="shared" si="2"/>
        <v>SAFE</v>
      </c>
      <c r="AE14" cm="1">
        <f t="array" ref="AE14">_xlfn.SWITCH(F14, "IT",12%,"HR",10%,"SALES",15%,8%)</f>
        <v>0.08</v>
      </c>
      <c r="AF14" t="str">
        <f>LEFT(Table1[[#This Row],[Email ID]],FIND("@",Table1[[#This Row],[Email ID]])-1)</f>
        <v>myra.a</v>
      </c>
    </row>
    <row r="15" spans="1:37" x14ac:dyDescent="0.3">
      <c r="A15" t="s">
        <v>91</v>
      </c>
      <c r="B15" t="s">
        <v>92</v>
      </c>
      <c r="C15">
        <v>27</v>
      </c>
      <c r="D15" t="s">
        <v>18</v>
      </c>
      <c r="E15" t="s">
        <v>93</v>
      </c>
      <c r="F15" t="s">
        <v>58</v>
      </c>
      <c r="G15" t="s">
        <v>94</v>
      </c>
      <c r="H15" s="1">
        <v>44577</v>
      </c>
      <c r="I15" s="5">
        <v>70000</v>
      </c>
      <c r="J15">
        <v>3.7</v>
      </c>
      <c r="K15">
        <v>9</v>
      </c>
      <c r="L15" s="2">
        <v>0.09</v>
      </c>
      <c r="M15" t="s">
        <v>29</v>
      </c>
      <c r="N15">
        <v>8</v>
      </c>
      <c r="O15" t="s">
        <v>95</v>
      </c>
      <c r="P15">
        <v>9876543223</v>
      </c>
      <c r="V15">
        <f t="shared" si="0"/>
        <v>915600.00000000012</v>
      </c>
      <c r="W15">
        <f ca="1">DATEDIF(Table1[[#This Row],[Joining Date]],TODAY(),"Y")</f>
        <v>4</v>
      </c>
      <c r="X15" t="str">
        <f>TEXT(Table1[[#This Row],[Joining Date]],"DD-MMM-YYYY")</f>
        <v>16-Jan-2022</v>
      </c>
      <c r="Y15" t="str" cm="1">
        <f t="array" aca="1" ref="Y15" ca="1">_xlfn.IFS(Table1[[#This Row],[EXPERIENCE]]&gt;=6,"A",Table1[[#This Row],[EXPERIENCE]]&gt;=3,"B",TRUE,"C")</f>
        <v>B</v>
      </c>
      <c r="Z15" t="str">
        <f>IF(Table1[[#This Row],[ACTC]]&gt;=1000000,"HIGH","LOW")</f>
        <v>LOW</v>
      </c>
      <c r="AA15">
        <f t="shared" si="1"/>
        <v>0</v>
      </c>
      <c r="AD15" t="str">
        <f t="shared" si="2"/>
        <v>SAFE</v>
      </c>
      <c r="AE15" cm="1">
        <f t="array" ref="AE15">_xlfn.SWITCH(F15, "IT",12%,"HR",10%,"SALES",15%,8%)</f>
        <v>0.08</v>
      </c>
      <c r="AF15" t="str">
        <f>LEFT(Table1[[#This Row],[Email ID]],FIND("@",Table1[[#This Row],[Email ID]])-1)</f>
        <v>vihaan.s</v>
      </c>
    </row>
    <row r="16" spans="1:37" x14ac:dyDescent="0.3">
      <c r="A16" t="s">
        <v>96</v>
      </c>
      <c r="B16" t="s">
        <v>97</v>
      </c>
      <c r="C16">
        <v>23</v>
      </c>
      <c r="D16" t="s">
        <v>38</v>
      </c>
      <c r="E16" t="s">
        <v>98</v>
      </c>
      <c r="F16" t="s">
        <v>20</v>
      </c>
      <c r="G16" t="s">
        <v>99</v>
      </c>
      <c r="H16" s="1">
        <v>45444</v>
      </c>
      <c r="I16" s="5">
        <v>25000</v>
      </c>
      <c r="J16">
        <v>3.2</v>
      </c>
      <c r="K16">
        <v>2</v>
      </c>
      <c r="L16" s="2">
        <v>0</v>
      </c>
      <c r="M16" t="s">
        <v>22</v>
      </c>
      <c r="N16">
        <v>1</v>
      </c>
      <c r="O16" t="s">
        <v>100</v>
      </c>
      <c r="P16">
        <v>9876543224</v>
      </c>
      <c r="V16">
        <f t="shared" si="0"/>
        <v>300000</v>
      </c>
      <c r="W16">
        <f ca="1">DATEDIF(Table1[[#This Row],[Joining Date]],TODAY(),"Y")</f>
        <v>2</v>
      </c>
      <c r="X16" t="str">
        <f>TEXT(Table1[[#This Row],[Joining Date]],"DD-MMM-YYYY")</f>
        <v>01-Jun-2024</v>
      </c>
      <c r="Y16" t="str" cm="1">
        <f t="array" aca="1" ref="Y16" ca="1">_xlfn.IFS(Table1[[#This Row],[EXPERIENCE]]&gt;=6,"A",Table1[[#This Row],[EXPERIENCE]]&gt;=3,"B",TRUE,"C")</f>
        <v>C</v>
      </c>
      <c r="Z16" t="str">
        <f>IF(Table1[[#This Row],[ACTC]]&gt;=1000000,"HIGH","LOW")</f>
        <v>LOW</v>
      </c>
      <c r="AA16">
        <f t="shared" si="1"/>
        <v>0</v>
      </c>
      <c r="AD16" t="str">
        <f t="shared" si="2"/>
        <v>SAFE</v>
      </c>
      <c r="AE16" cm="1">
        <f t="array" ref="AE16">_xlfn.SWITCH(F16, "IT",12%,"HR",10%,"SALES",15%,8%)</f>
        <v>0.12</v>
      </c>
      <c r="AF16" t="str">
        <f>LEFT(Table1[[#This Row],[Email ID]],FIND("@",Table1[[#This Row],[Email ID]])-1)</f>
        <v>pari.v</v>
      </c>
    </row>
    <row r="17" spans="1:32" x14ac:dyDescent="0.3">
      <c r="A17" t="s">
        <v>101</v>
      </c>
      <c r="B17" t="s">
        <v>102</v>
      </c>
      <c r="C17">
        <v>34</v>
      </c>
      <c r="D17" t="s">
        <v>18</v>
      </c>
      <c r="E17" t="s">
        <v>103</v>
      </c>
      <c r="F17" t="s">
        <v>46</v>
      </c>
      <c r="G17" t="s">
        <v>104</v>
      </c>
      <c r="H17" s="1">
        <v>43319</v>
      </c>
      <c r="I17" s="5">
        <v>115000</v>
      </c>
      <c r="J17">
        <v>4.5999999999999996</v>
      </c>
      <c r="K17">
        <v>25</v>
      </c>
      <c r="L17" s="2">
        <v>0.15</v>
      </c>
      <c r="M17" t="s">
        <v>29</v>
      </c>
      <c r="N17">
        <v>9</v>
      </c>
      <c r="O17" t="s">
        <v>105</v>
      </c>
      <c r="P17">
        <v>9876543225</v>
      </c>
      <c r="V17">
        <f t="shared" si="0"/>
        <v>1586999.9999999998</v>
      </c>
      <c r="W17">
        <f ca="1">DATEDIF(Table1[[#This Row],[Joining Date]],TODAY(),"Y")</f>
        <v>7</v>
      </c>
      <c r="X17" t="str">
        <f>TEXT(Table1[[#This Row],[Joining Date]],"DD-MMM-YYYY")</f>
        <v>07-Aug-2018</v>
      </c>
      <c r="Y17" t="str" cm="1">
        <f t="array" aca="1" ref="Y17" ca="1">_xlfn.IFS(Table1[[#This Row],[EXPERIENCE]]&gt;=6,"A",Table1[[#This Row],[EXPERIENCE]]&gt;=3,"B",TRUE,"C")</f>
        <v>A</v>
      </c>
      <c r="Z17" t="str">
        <f>IF(Table1[[#This Row],[ACTC]]&gt;=1000000,"HIGH","LOW")</f>
        <v>HIGH</v>
      </c>
      <c r="AA17">
        <f t="shared" si="1"/>
        <v>0</v>
      </c>
      <c r="AD17" t="str">
        <f t="shared" si="2"/>
        <v>SAFE</v>
      </c>
      <c r="AE17" cm="1">
        <f t="array" ref="AE17">_xlfn.SWITCH(F17, "IT",12%,"HR",10%,"SALES",15%,8%)</f>
        <v>0.08</v>
      </c>
      <c r="AF17" t="str">
        <f>LEFT(Table1[[#This Row],[Email ID]],FIND("@",Table1[[#This Row],[Email ID]])-1)</f>
        <v>atharv.m</v>
      </c>
    </row>
    <row r="18" spans="1:32" x14ac:dyDescent="0.3">
      <c r="A18" t="s">
        <v>106</v>
      </c>
      <c r="B18" t="s">
        <v>107</v>
      </c>
      <c r="C18">
        <v>28</v>
      </c>
      <c r="D18" t="s">
        <v>38</v>
      </c>
      <c r="E18" t="s">
        <v>108</v>
      </c>
      <c r="F18" t="s">
        <v>27</v>
      </c>
      <c r="G18" t="s">
        <v>109</v>
      </c>
      <c r="H18" s="1">
        <v>44523</v>
      </c>
      <c r="I18" s="5">
        <v>58000</v>
      </c>
      <c r="J18">
        <v>4</v>
      </c>
      <c r="K18">
        <v>11</v>
      </c>
      <c r="L18" s="2">
        <v>0.09</v>
      </c>
      <c r="M18" t="s">
        <v>22</v>
      </c>
      <c r="N18">
        <v>5</v>
      </c>
      <c r="O18" t="s">
        <v>110</v>
      </c>
      <c r="P18">
        <v>9876543226</v>
      </c>
      <c r="V18">
        <f t="shared" si="0"/>
        <v>758640</v>
      </c>
      <c r="W18">
        <f ca="1">DATEDIF(Table1[[#This Row],[Joining Date]],TODAY(),"Y")</f>
        <v>4</v>
      </c>
      <c r="X18" t="str">
        <f>TEXT(Table1[[#This Row],[Joining Date]],"DD-MMM-YYYY")</f>
        <v>23-Nov-2021</v>
      </c>
      <c r="Y18" t="str" cm="1">
        <f t="array" aca="1" ref="Y18" ca="1">_xlfn.IFS(Table1[[#This Row],[EXPERIENCE]]&gt;=6,"A",Table1[[#This Row],[EXPERIENCE]]&gt;=3,"B",TRUE,"C")</f>
        <v>B</v>
      </c>
      <c r="Z18" t="str">
        <f>IF(Table1[[#This Row],[ACTC]]&gt;=1000000,"HIGH","LOW")</f>
        <v>LOW</v>
      </c>
      <c r="AA18">
        <f t="shared" si="1"/>
        <v>0</v>
      </c>
      <c r="AD18" t="str">
        <f t="shared" si="2"/>
        <v>SAFE</v>
      </c>
      <c r="AE18" cm="1">
        <f t="array" ref="AE18">_xlfn.SWITCH(F18, "IT",12%,"HR",10%,"SALES",15%,8%)</f>
        <v>0.15</v>
      </c>
      <c r="AF18" t="str">
        <f>LEFT(Table1[[#This Row],[Email ID]],FIND("@",Table1[[#This Row],[Email ID]])-1)</f>
        <v>sara.s</v>
      </c>
    </row>
    <row r="19" spans="1:32" x14ac:dyDescent="0.3">
      <c r="A19" t="s">
        <v>111</v>
      </c>
      <c r="B19" t="s">
        <v>112</v>
      </c>
      <c r="C19">
        <v>30</v>
      </c>
      <c r="D19" t="s">
        <v>18</v>
      </c>
      <c r="E19" t="s">
        <v>113</v>
      </c>
      <c r="F19" t="s">
        <v>20</v>
      </c>
      <c r="G19" t="s">
        <v>114</v>
      </c>
      <c r="H19" s="1">
        <v>43717</v>
      </c>
      <c r="I19" s="5">
        <v>125000</v>
      </c>
      <c r="J19">
        <v>4.8</v>
      </c>
      <c r="K19">
        <v>28</v>
      </c>
      <c r="L19" s="2">
        <v>0.14000000000000001</v>
      </c>
      <c r="M19" t="s">
        <v>29</v>
      </c>
      <c r="N19">
        <v>7</v>
      </c>
      <c r="O19" t="s">
        <v>115</v>
      </c>
      <c r="P19">
        <v>9876543227</v>
      </c>
      <c r="V19">
        <f t="shared" si="0"/>
        <v>1710000.0000000002</v>
      </c>
      <c r="W19">
        <f ca="1">DATEDIF(Table1[[#This Row],[Joining Date]],TODAY(),"Y")</f>
        <v>6</v>
      </c>
      <c r="X19" t="str">
        <f>TEXT(Table1[[#This Row],[Joining Date]],"DD-MMM-YYYY")</f>
        <v>09-Sep-2019</v>
      </c>
      <c r="Y19" t="str" cm="1">
        <f t="array" aca="1" ref="Y19" ca="1">_xlfn.IFS(Table1[[#This Row],[EXPERIENCE]]&gt;=6,"A",Table1[[#This Row],[EXPERIENCE]]&gt;=3,"B",TRUE,"C")</f>
        <v>A</v>
      </c>
      <c r="Z19" t="str">
        <f>IF(Table1[[#This Row],[ACTC]]&gt;=1000000,"HIGH","LOW")</f>
        <v>HIGH</v>
      </c>
      <c r="AA19">
        <f t="shared" si="1"/>
        <v>0</v>
      </c>
      <c r="AD19" t="str">
        <f t="shared" si="2"/>
        <v>SAFE</v>
      </c>
      <c r="AE19" cm="1">
        <f t="array" ref="AE19">_xlfn.SWITCH(F19, "IT",12%,"HR",10%,"SALES",15%,8%)</f>
        <v>0.12</v>
      </c>
      <c r="AF19" t="str">
        <f>LEFT(Table1[[#This Row],[Email ID]],FIND("@",Table1[[#This Row],[Email ID]])-1)</f>
        <v>reyansh.t</v>
      </c>
    </row>
    <row r="20" spans="1:32" x14ac:dyDescent="0.3">
      <c r="A20" t="s">
        <v>116</v>
      </c>
      <c r="B20" t="s">
        <v>117</v>
      </c>
      <c r="C20">
        <v>26</v>
      </c>
      <c r="D20" t="s">
        <v>38</v>
      </c>
      <c r="E20" t="s">
        <v>118</v>
      </c>
      <c r="F20" t="s">
        <v>40</v>
      </c>
      <c r="G20" t="s">
        <v>119</v>
      </c>
      <c r="H20" s="1">
        <v>43875</v>
      </c>
      <c r="I20" s="5">
        <v>85000</v>
      </c>
      <c r="J20">
        <v>4.5</v>
      </c>
      <c r="K20">
        <v>12</v>
      </c>
      <c r="L20" s="2">
        <v>0.12</v>
      </c>
      <c r="M20" t="s">
        <v>29</v>
      </c>
      <c r="N20">
        <v>6</v>
      </c>
      <c r="O20" t="s">
        <v>120</v>
      </c>
      <c r="P20">
        <v>9876543228</v>
      </c>
      <c r="V20">
        <f t="shared" si="0"/>
        <v>1142400</v>
      </c>
      <c r="W20">
        <f ca="1">DATEDIF(Table1[[#This Row],[Joining Date]],TODAY(),"Y")</f>
        <v>6</v>
      </c>
      <c r="X20" t="str">
        <f>TEXT(Table1[[#This Row],[Joining Date]],"DD-MMM-YYYY")</f>
        <v>14-Feb-2020</v>
      </c>
      <c r="Y20" t="str" cm="1">
        <f t="array" aca="1" ref="Y20" ca="1">_xlfn.IFS(Table1[[#This Row],[EXPERIENCE]]&gt;=6,"A",Table1[[#This Row],[EXPERIENCE]]&gt;=3,"B",TRUE,"C")</f>
        <v>A</v>
      </c>
      <c r="Z20" t="str">
        <f>IF(Table1[[#This Row],[ACTC]]&gt;=1000000,"HIGH","LOW")</f>
        <v>HIGH</v>
      </c>
      <c r="AA20">
        <f t="shared" si="1"/>
        <v>0</v>
      </c>
      <c r="AD20" t="str">
        <f t="shared" si="2"/>
        <v>SAFE</v>
      </c>
      <c r="AE20" cm="1">
        <f t="array" ref="AE20">_xlfn.SWITCH(F20, "IT",12%,"HR",10%,"SALES",15%,8%)</f>
        <v>0.1</v>
      </c>
      <c r="AF20" t="str">
        <f>LEFT(Table1[[#This Row],[Email ID]],FIND("@",Table1[[#This Row],[Email ID]])-1)</f>
        <v>anika.r</v>
      </c>
    </row>
    <row r="21" spans="1:32" x14ac:dyDescent="0.3">
      <c r="A21" t="s">
        <v>121</v>
      </c>
      <c r="B21" t="s">
        <v>122</v>
      </c>
      <c r="C21">
        <v>32</v>
      </c>
      <c r="D21" t="s">
        <v>18</v>
      </c>
      <c r="E21" t="s">
        <v>123</v>
      </c>
      <c r="F21" t="s">
        <v>52</v>
      </c>
      <c r="G21" t="s">
        <v>124</v>
      </c>
      <c r="H21" s="1">
        <v>44404</v>
      </c>
      <c r="I21" s="5">
        <v>66000</v>
      </c>
      <c r="J21">
        <v>4.2</v>
      </c>
      <c r="K21">
        <v>14</v>
      </c>
      <c r="L21" s="2">
        <v>0.1</v>
      </c>
      <c r="M21" t="s">
        <v>22</v>
      </c>
      <c r="N21">
        <v>4</v>
      </c>
      <c r="O21" t="s">
        <v>125</v>
      </c>
      <c r="P21">
        <v>9876543229</v>
      </c>
      <c r="V21">
        <f t="shared" si="0"/>
        <v>871200.00000000012</v>
      </c>
      <c r="W21">
        <f ca="1">DATEDIF(Table1[[#This Row],[Joining Date]],TODAY(),"Y")</f>
        <v>4</v>
      </c>
      <c r="X21" t="str">
        <f>TEXT(Table1[[#This Row],[Joining Date]],"DD-MMM-YYYY")</f>
        <v>27-Jul-2021</v>
      </c>
      <c r="Y21" t="str" cm="1">
        <f t="array" aca="1" ref="Y21" ca="1">_xlfn.IFS(Table1[[#This Row],[EXPERIENCE]]&gt;=6,"A",Table1[[#This Row],[EXPERIENCE]]&gt;=3,"B",TRUE,"C")</f>
        <v>B</v>
      </c>
      <c r="Z21" t="str">
        <f>IF(Table1[[#This Row],[ACTC]]&gt;=1000000,"HIGH","LOW")</f>
        <v>LOW</v>
      </c>
      <c r="AA21">
        <f t="shared" si="1"/>
        <v>0</v>
      </c>
      <c r="AD21" t="str">
        <f t="shared" si="2"/>
        <v>SAFE</v>
      </c>
      <c r="AE21" cm="1">
        <f t="array" ref="AE21">_xlfn.SWITCH(F21, "IT",12%,"HR",10%,"SALES",15%,8%)</f>
        <v>0.08</v>
      </c>
      <c r="AF21" t="str">
        <f>LEFT(Table1[[#This Row],[Email ID]],FIND("@",Table1[[#This Row],[Email ID]])-1)</f>
        <v>kabir.j</v>
      </c>
    </row>
    <row r="22" spans="1:32" x14ac:dyDescent="0.3">
      <c r="A22" t="s">
        <v>126</v>
      </c>
      <c r="B22" t="s">
        <v>127</v>
      </c>
      <c r="C22">
        <v>29</v>
      </c>
      <c r="D22" t="s">
        <v>38</v>
      </c>
      <c r="E22" t="s">
        <v>19</v>
      </c>
      <c r="F22" t="s">
        <v>20</v>
      </c>
      <c r="G22" t="s">
        <v>128</v>
      </c>
      <c r="H22" s="1">
        <v>44654</v>
      </c>
      <c r="I22" s="5">
        <v>64000</v>
      </c>
      <c r="J22">
        <v>4.0999999999999996</v>
      </c>
      <c r="K22">
        <v>10</v>
      </c>
      <c r="L22" s="2">
        <v>0.09</v>
      </c>
      <c r="M22" t="s">
        <v>22</v>
      </c>
      <c r="N22">
        <v>3</v>
      </c>
      <c r="O22" t="s">
        <v>129</v>
      </c>
      <c r="P22">
        <v>9876543230</v>
      </c>
      <c r="V22">
        <f t="shared" si="0"/>
        <v>837120.00000000012</v>
      </c>
      <c r="W22">
        <f ca="1">DATEDIF(Table1[[#This Row],[Joining Date]],TODAY(),"Y")</f>
        <v>4</v>
      </c>
      <c r="X22" t="str">
        <f>TEXT(Table1[[#This Row],[Joining Date]],"DD-MMM-YYYY")</f>
        <v>03-Apr-2022</v>
      </c>
      <c r="Y22" t="str" cm="1">
        <f t="array" aca="1" ref="Y22" ca="1">_xlfn.IFS(Table1[[#This Row],[EXPERIENCE]]&gt;=6,"A",Table1[[#This Row],[EXPERIENCE]]&gt;=3,"B",TRUE,"C")</f>
        <v>B</v>
      </c>
      <c r="Z22" t="str">
        <f>IF(Table1[[#This Row],[ACTC]]&gt;=1000000,"HIGH","LOW")</f>
        <v>LOW</v>
      </c>
      <c r="AA22">
        <f t="shared" si="1"/>
        <v>0</v>
      </c>
      <c r="AD22" t="str">
        <f t="shared" si="2"/>
        <v>SAFE</v>
      </c>
      <c r="AE22" cm="1">
        <f t="array" ref="AE22">_xlfn.SWITCH(F22, "IT",12%,"HR",10%,"SALES",15%,8%)</f>
        <v>0.12</v>
      </c>
      <c r="AF22" t="str">
        <f>LEFT(Table1[[#This Row],[Email ID]],FIND("@",Table1[[#This Row],[Email ID]])-1)</f>
        <v>aadhya.m</v>
      </c>
    </row>
    <row r="23" spans="1:32" x14ac:dyDescent="0.3">
      <c r="A23" t="s">
        <v>130</v>
      </c>
      <c r="B23" t="s">
        <v>131</v>
      </c>
      <c r="C23">
        <v>35</v>
      </c>
      <c r="D23" t="s">
        <v>18</v>
      </c>
      <c r="E23" t="s">
        <v>26</v>
      </c>
      <c r="F23" t="s">
        <v>58</v>
      </c>
      <c r="G23" t="s">
        <v>132</v>
      </c>
      <c r="H23" s="1">
        <v>42901</v>
      </c>
      <c r="I23" s="5">
        <v>180000</v>
      </c>
      <c r="J23">
        <v>4.9000000000000004</v>
      </c>
      <c r="K23">
        <v>35</v>
      </c>
      <c r="L23" s="2">
        <v>0.18</v>
      </c>
      <c r="M23" t="s">
        <v>29</v>
      </c>
      <c r="N23">
        <v>12</v>
      </c>
      <c r="O23" t="s">
        <v>133</v>
      </c>
      <c r="P23">
        <v>9876543231</v>
      </c>
      <c r="V23">
        <f t="shared" si="0"/>
        <v>2548800</v>
      </c>
      <c r="W23">
        <f ca="1">DATEDIF(Table1[[#This Row],[Joining Date]],TODAY(),"Y")</f>
        <v>9</v>
      </c>
      <c r="X23" t="str">
        <f>TEXT(Table1[[#This Row],[Joining Date]],"DD-MMM-YYYY")</f>
        <v>15-Jun-2017</v>
      </c>
      <c r="Y23" t="str" cm="1">
        <f t="array" aca="1" ref="Y23" ca="1">_xlfn.IFS(Table1[[#This Row],[EXPERIENCE]]&gt;=6,"A",Table1[[#This Row],[EXPERIENCE]]&gt;=3,"B",TRUE,"C")</f>
        <v>A</v>
      </c>
      <c r="Z23" t="str">
        <f>IF(Table1[[#This Row],[ACTC]]&gt;=1000000,"HIGH","LOW")</f>
        <v>HIGH</v>
      </c>
      <c r="AA23">
        <f t="shared" si="1"/>
        <v>0</v>
      </c>
      <c r="AD23" t="str">
        <f t="shared" si="2"/>
        <v>SAFE</v>
      </c>
      <c r="AE23" cm="1">
        <f t="array" ref="AE23">_xlfn.SWITCH(F23, "IT",12%,"HR",10%,"SALES",15%,8%)</f>
        <v>0.08</v>
      </c>
      <c r="AF23" t="str">
        <f>LEFT(Table1[[#This Row],[Email ID]],FIND("@",Table1[[#This Row],[Email ID]])-1)</f>
        <v>dhruv.s</v>
      </c>
    </row>
    <row r="24" spans="1:32" x14ac:dyDescent="0.3">
      <c r="A24" t="s">
        <v>134</v>
      </c>
      <c r="B24" t="s">
        <v>135</v>
      </c>
      <c r="C24">
        <v>24</v>
      </c>
      <c r="D24" t="s">
        <v>38</v>
      </c>
      <c r="E24" t="s">
        <v>33</v>
      </c>
      <c r="F24" t="s">
        <v>27</v>
      </c>
      <c r="G24" t="s">
        <v>136</v>
      </c>
      <c r="H24" s="1">
        <v>45179</v>
      </c>
      <c r="I24" s="5">
        <v>38000</v>
      </c>
      <c r="J24">
        <v>3.6</v>
      </c>
      <c r="K24">
        <v>3</v>
      </c>
      <c r="L24" s="2">
        <v>0.05</v>
      </c>
      <c r="M24" t="s">
        <v>29</v>
      </c>
      <c r="N24">
        <v>2</v>
      </c>
      <c r="O24" t="s">
        <v>137</v>
      </c>
      <c r="P24">
        <v>9876543232</v>
      </c>
      <c r="V24">
        <f t="shared" si="0"/>
        <v>478800</v>
      </c>
      <c r="W24">
        <f ca="1">DATEDIF(Table1[[#This Row],[Joining Date]],TODAY(),"Y")</f>
        <v>2</v>
      </c>
      <c r="X24" t="str">
        <f>TEXT(Table1[[#This Row],[Joining Date]],"DD-MMM-YYYY")</f>
        <v>10-Sep-2023</v>
      </c>
      <c r="Y24" t="str" cm="1">
        <f t="array" aca="1" ref="Y24" ca="1">_xlfn.IFS(Table1[[#This Row],[EXPERIENCE]]&gt;=6,"A",Table1[[#This Row],[EXPERIENCE]]&gt;=3,"B",TRUE,"C")</f>
        <v>C</v>
      </c>
      <c r="Z24" t="str">
        <f>IF(Table1[[#This Row],[ACTC]]&gt;=1000000,"HIGH","LOW")</f>
        <v>LOW</v>
      </c>
      <c r="AA24">
        <f t="shared" si="1"/>
        <v>0</v>
      </c>
      <c r="AD24" t="str">
        <f t="shared" si="2"/>
        <v>SAFE</v>
      </c>
      <c r="AE24" cm="1">
        <f t="array" ref="AE24">_xlfn.SWITCH(F24, "IT",12%,"HR",10%,"SALES",15%,8%)</f>
        <v>0.15</v>
      </c>
      <c r="AF24" t="str">
        <f>LEFT(Table1[[#This Row],[Email ID]],FIND("@",Table1[[#This Row],[Email ID]])-1)</f>
        <v>navya.k</v>
      </c>
    </row>
    <row r="25" spans="1:32" x14ac:dyDescent="0.3">
      <c r="A25" t="s">
        <v>138</v>
      </c>
      <c r="B25" t="s">
        <v>139</v>
      </c>
      <c r="C25">
        <v>31</v>
      </c>
      <c r="D25" t="s">
        <v>18</v>
      </c>
      <c r="E25" t="s">
        <v>39</v>
      </c>
      <c r="F25" t="s">
        <v>20</v>
      </c>
      <c r="G25" t="s">
        <v>140</v>
      </c>
      <c r="H25" s="1">
        <v>44186</v>
      </c>
      <c r="I25" s="5">
        <v>72000</v>
      </c>
      <c r="J25">
        <v>4.3</v>
      </c>
      <c r="K25">
        <v>15</v>
      </c>
      <c r="L25" s="2">
        <v>0.11</v>
      </c>
      <c r="M25" t="s">
        <v>22</v>
      </c>
      <c r="N25">
        <v>5</v>
      </c>
      <c r="O25" t="s">
        <v>141</v>
      </c>
      <c r="P25">
        <v>9876543233</v>
      </c>
      <c r="V25">
        <f t="shared" si="0"/>
        <v>959040.00000000012</v>
      </c>
      <c r="W25">
        <f ca="1">DATEDIF(Table1[[#This Row],[Joining Date]],TODAY(),"Y")</f>
        <v>5</v>
      </c>
      <c r="X25" t="str">
        <f>TEXT(Table1[[#This Row],[Joining Date]],"DD-MMM-YYYY")</f>
        <v>21-Dec-2020</v>
      </c>
      <c r="Y25" t="str" cm="1">
        <f t="array" aca="1" ref="Y25" ca="1">_xlfn.IFS(Table1[[#This Row],[EXPERIENCE]]&gt;=6,"A",Table1[[#This Row],[EXPERIENCE]]&gt;=3,"B",TRUE,"C")</f>
        <v>B</v>
      </c>
      <c r="Z25" t="str">
        <f>IF(Table1[[#This Row],[ACTC]]&gt;=1000000,"HIGH","LOW")</f>
        <v>LOW</v>
      </c>
      <c r="AA25">
        <f t="shared" si="1"/>
        <v>0</v>
      </c>
      <c r="AD25" t="str">
        <f t="shared" si="2"/>
        <v>SAFE</v>
      </c>
      <c r="AE25" cm="1">
        <f t="array" ref="AE25">_xlfn.SWITCH(F25, "IT",12%,"HR",10%,"SALES",15%,8%)</f>
        <v>0.12</v>
      </c>
      <c r="AF25" t="str">
        <f>LEFT(Table1[[#This Row],[Email ID]],FIND("@",Table1[[#This Row],[Email ID]])-1)</f>
        <v>yuvaan.c</v>
      </c>
    </row>
    <row r="26" spans="1:32" x14ac:dyDescent="0.3">
      <c r="A26" t="s">
        <v>142</v>
      </c>
      <c r="B26" t="s">
        <v>143</v>
      </c>
      <c r="C26">
        <v>27</v>
      </c>
      <c r="D26" t="s">
        <v>38</v>
      </c>
      <c r="E26" t="s">
        <v>45</v>
      </c>
      <c r="F26" t="s">
        <v>46</v>
      </c>
      <c r="G26" t="s">
        <v>144</v>
      </c>
      <c r="H26" s="1">
        <v>44687</v>
      </c>
      <c r="I26" s="5">
        <v>69000</v>
      </c>
      <c r="J26">
        <v>4</v>
      </c>
      <c r="K26">
        <v>11</v>
      </c>
      <c r="L26" s="2">
        <v>0.1</v>
      </c>
      <c r="M26" t="s">
        <v>29</v>
      </c>
      <c r="N26">
        <v>4</v>
      </c>
      <c r="O26" t="s">
        <v>145</v>
      </c>
      <c r="P26">
        <v>9876543234</v>
      </c>
      <c r="V26">
        <f t="shared" si="0"/>
        <v>910800.00000000012</v>
      </c>
      <c r="W26">
        <f ca="1">DATEDIF(Table1[[#This Row],[Joining Date]],TODAY(),"Y")</f>
        <v>4</v>
      </c>
      <c r="X26" t="str">
        <f>TEXT(Table1[[#This Row],[Joining Date]],"DD-MMM-YYYY")</f>
        <v>06-May-2022</v>
      </c>
      <c r="Y26" t="str" cm="1">
        <f t="array" aca="1" ref="Y26" ca="1">_xlfn.IFS(Table1[[#This Row],[EXPERIENCE]]&gt;=6,"A",Table1[[#This Row],[EXPERIENCE]]&gt;=3,"B",TRUE,"C")</f>
        <v>B</v>
      </c>
      <c r="Z26" t="str">
        <f>IF(Table1[[#This Row],[ACTC]]&gt;=1000000,"HIGH","LOW")</f>
        <v>LOW</v>
      </c>
      <c r="AA26">
        <f t="shared" si="1"/>
        <v>0</v>
      </c>
      <c r="AD26" t="str">
        <f t="shared" si="2"/>
        <v>SAFE</v>
      </c>
      <c r="AE26" cm="1">
        <f t="array" ref="AE26">_xlfn.SWITCH(F26, "IT",12%,"HR",10%,"SALES",15%,8%)</f>
        <v>0.08</v>
      </c>
      <c r="AF26" t="str">
        <f>LEFT(Table1[[#This Row],[Email ID]],FIND("@",Table1[[#This Row],[Email ID]])-1)</f>
        <v>kiara.b</v>
      </c>
    </row>
    <row r="27" spans="1:32" x14ac:dyDescent="0.3">
      <c r="A27" t="s">
        <v>146</v>
      </c>
      <c r="B27" t="s">
        <v>147</v>
      </c>
      <c r="C27">
        <v>33</v>
      </c>
      <c r="D27" t="s">
        <v>18</v>
      </c>
      <c r="E27" t="s">
        <v>51</v>
      </c>
      <c r="F27" t="s">
        <v>20</v>
      </c>
      <c r="G27" t="s">
        <v>148</v>
      </c>
      <c r="H27" s="1">
        <v>43690</v>
      </c>
      <c r="I27" s="5">
        <v>98000</v>
      </c>
      <c r="J27">
        <v>4.7</v>
      </c>
      <c r="K27">
        <v>20</v>
      </c>
      <c r="L27" s="2">
        <v>0.13</v>
      </c>
      <c r="M27" t="s">
        <v>22</v>
      </c>
      <c r="N27">
        <v>8</v>
      </c>
      <c r="O27" t="s">
        <v>149</v>
      </c>
      <c r="P27">
        <v>9876543235</v>
      </c>
      <c r="V27">
        <f t="shared" si="0"/>
        <v>1328879.9999999998</v>
      </c>
      <c r="W27">
        <f ca="1">DATEDIF(Table1[[#This Row],[Joining Date]],TODAY(),"Y")</f>
        <v>6</v>
      </c>
      <c r="X27" t="str">
        <f>TEXT(Table1[[#This Row],[Joining Date]],"DD-MMM-YYYY")</f>
        <v>13-Aug-2019</v>
      </c>
      <c r="Y27" t="str" cm="1">
        <f t="array" aca="1" ref="Y27" ca="1">_xlfn.IFS(Table1[[#This Row],[EXPERIENCE]]&gt;=6,"A",Table1[[#This Row],[EXPERIENCE]]&gt;=3,"B",TRUE,"C")</f>
        <v>A</v>
      </c>
      <c r="Z27" t="str">
        <f>IF(Table1[[#This Row],[ACTC]]&gt;=1000000,"HIGH","LOW")</f>
        <v>HIGH</v>
      </c>
      <c r="AA27">
        <f t="shared" si="1"/>
        <v>0</v>
      </c>
      <c r="AD27" t="str">
        <f t="shared" si="2"/>
        <v>SAFE</v>
      </c>
      <c r="AE27" cm="1">
        <f t="array" ref="AE27">_xlfn.SWITCH(F27, "IT",12%,"HR",10%,"SALES",15%,8%)</f>
        <v>0.12</v>
      </c>
      <c r="AF27" t="str">
        <f>LEFT(Table1[[#This Row],[Email ID]],FIND("@",Table1[[#This Row],[Email ID]])-1)</f>
        <v>rudra.s</v>
      </c>
    </row>
    <row r="28" spans="1:32" x14ac:dyDescent="0.3">
      <c r="A28" t="s">
        <v>150</v>
      </c>
      <c r="B28" t="s">
        <v>151</v>
      </c>
      <c r="C28">
        <v>30</v>
      </c>
      <c r="D28" t="s">
        <v>38</v>
      </c>
      <c r="E28" t="s">
        <v>68</v>
      </c>
      <c r="F28" t="s">
        <v>52</v>
      </c>
      <c r="G28" t="s">
        <v>152</v>
      </c>
      <c r="H28" s="1">
        <v>43859</v>
      </c>
      <c r="I28" s="5">
        <v>89000</v>
      </c>
      <c r="J28">
        <v>4.8</v>
      </c>
      <c r="K28">
        <v>18</v>
      </c>
      <c r="L28" s="2">
        <v>0.12</v>
      </c>
      <c r="M28" t="s">
        <v>29</v>
      </c>
      <c r="N28">
        <v>5</v>
      </c>
      <c r="O28" t="s">
        <v>153</v>
      </c>
      <c r="P28">
        <v>9876543236</v>
      </c>
      <c r="V28">
        <f t="shared" si="0"/>
        <v>1196160</v>
      </c>
      <c r="W28">
        <f ca="1">DATEDIF(Table1[[#This Row],[Joining Date]],TODAY(),"Y")</f>
        <v>6</v>
      </c>
      <c r="X28" t="str">
        <f>TEXT(Table1[[#This Row],[Joining Date]],"DD-MMM-YYYY")</f>
        <v>29-Jan-2020</v>
      </c>
      <c r="Y28" t="str" cm="1">
        <f t="array" aca="1" ref="Y28" ca="1">_xlfn.IFS(Table1[[#This Row],[EXPERIENCE]]&gt;=6,"A",Table1[[#This Row],[EXPERIENCE]]&gt;=3,"B",TRUE,"C")</f>
        <v>A</v>
      </c>
      <c r="Z28" t="str">
        <f>IF(Table1[[#This Row],[ACTC]]&gt;=1000000,"HIGH","LOW")</f>
        <v>HIGH</v>
      </c>
      <c r="AA28">
        <f t="shared" si="1"/>
        <v>0</v>
      </c>
      <c r="AD28" t="str">
        <f t="shared" si="2"/>
        <v>SAFE</v>
      </c>
      <c r="AE28" cm="1">
        <f t="array" ref="AE28">_xlfn.SWITCH(F28, "IT",12%,"HR",10%,"SALES",15%,8%)</f>
        <v>0.08</v>
      </c>
      <c r="AF28" t="str">
        <f>LEFT(Table1[[#This Row],[Email ID]],FIND("@",Table1[[#This Row],[Email ID]])-1)</f>
        <v>tara.i</v>
      </c>
    </row>
    <row r="29" spans="1:32" x14ac:dyDescent="0.3">
      <c r="A29" t="s">
        <v>154</v>
      </c>
      <c r="B29" t="s">
        <v>155</v>
      </c>
      <c r="C29">
        <v>28</v>
      </c>
      <c r="D29" t="s">
        <v>18</v>
      </c>
      <c r="E29" t="s">
        <v>57</v>
      </c>
      <c r="F29" t="s">
        <v>27</v>
      </c>
      <c r="G29" t="s">
        <v>156</v>
      </c>
      <c r="H29" s="1">
        <v>43541</v>
      </c>
      <c r="I29" s="5">
        <v>110000</v>
      </c>
      <c r="J29">
        <v>4.2</v>
      </c>
      <c r="K29">
        <v>24</v>
      </c>
      <c r="L29" s="2">
        <v>0.14000000000000001</v>
      </c>
      <c r="M29" t="s">
        <v>29</v>
      </c>
      <c r="N29">
        <v>9</v>
      </c>
      <c r="O29" t="s">
        <v>157</v>
      </c>
      <c r="P29">
        <v>9876543237</v>
      </c>
      <c r="V29">
        <f t="shared" si="0"/>
        <v>1504800.0000000002</v>
      </c>
      <c r="W29">
        <f ca="1">DATEDIF(Table1[[#This Row],[Joining Date]],TODAY(),"Y")</f>
        <v>7</v>
      </c>
      <c r="X29" t="str">
        <f>TEXT(Table1[[#This Row],[Joining Date]],"DD-MMM-YYYY")</f>
        <v>17-Mar-2019</v>
      </c>
      <c r="Y29" t="str" cm="1">
        <f t="array" aca="1" ref="Y29" ca="1">_xlfn.IFS(Table1[[#This Row],[EXPERIENCE]]&gt;=6,"A",Table1[[#This Row],[EXPERIENCE]]&gt;=3,"B",TRUE,"C")</f>
        <v>A</v>
      </c>
      <c r="Z29" t="str">
        <f>IF(Table1[[#This Row],[ACTC]]&gt;=1000000,"HIGH","LOW")</f>
        <v>HIGH</v>
      </c>
      <c r="AA29">
        <f t="shared" si="1"/>
        <v>0</v>
      </c>
      <c r="AD29" t="str">
        <f t="shared" si="2"/>
        <v>SAFE</v>
      </c>
      <c r="AE29" cm="1">
        <f t="array" ref="AE29">_xlfn.SWITCH(F29, "IT",12%,"HR",10%,"SALES",15%,8%)</f>
        <v>0.15</v>
      </c>
      <c r="AF29" t="str">
        <f>LEFT(Table1[[#This Row],[Email ID]],FIND("@",Table1[[#This Row],[Email ID]])-1)</f>
        <v>veer.p</v>
      </c>
    </row>
    <row r="30" spans="1:32" x14ac:dyDescent="0.3">
      <c r="A30" t="s">
        <v>158</v>
      </c>
      <c r="B30" t="s">
        <v>159</v>
      </c>
      <c r="C30">
        <v>25</v>
      </c>
      <c r="D30" t="s">
        <v>38</v>
      </c>
      <c r="E30" t="s">
        <v>63</v>
      </c>
      <c r="F30" t="s">
        <v>40</v>
      </c>
      <c r="G30" t="s">
        <v>160</v>
      </c>
      <c r="H30" s="1">
        <v>45481</v>
      </c>
      <c r="I30" s="5">
        <v>28000</v>
      </c>
      <c r="J30">
        <v>3.4</v>
      </c>
      <c r="K30">
        <v>1</v>
      </c>
      <c r="L30" s="2">
        <v>0</v>
      </c>
      <c r="M30" t="s">
        <v>22</v>
      </c>
      <c r="N30">
        <v>1</v>
      </c>
      <c r="O30" t="s">
        <v>161</v>
      </c>
      <c r="P30">
        <v>9876543238</v>
      </c>
      <c r="V30">
        <f t="shared" si="0"/>
        <v>336000</v>
      </c>
      <c r="W30">
        <f ca="1">DATEDIF(Table1[[#This Row],[Joining Date]],TODAY(),"Y")</f>
        <v>2</v>
      </c>
      <c r="X30" t="str">
        <f>TEXT(Table1[[#This Row],[Joining Date]],"DD-MMM-YYYY")</f>
        <v>08-Jul-2024</v>
      </c>
      <c r="Y30" t="str" cm="1">
        <f t="array" aca="1" ref="Y30" ca="1">_xlfn.IFS(Table1[[#This Row],[EXPERIENCE]]&gt;=6,"A",Table1[[#This Row],[EXPERIENCE]]&gt;=3,"B",TRUE,"C")</f>
        <v>C</v>
      </c>
      <c r="Z30" t="str">
        <f>IF(Table1[[#This Row],[ACTC]]&gt;=1000000,"HIGH","LOW")</f>
        <v>LOW</v>
      </c>
      <c r="AA30">
        <f t="shared" si="1"/>
        <v>0</v>
      </c>
      <c r="AD30" t="str">
        <f t="shared" si="2"/>
        <v>SAFE</v>
      </c>
      <c r="AE30" cm="1">
        <f t="array" ref="AE30">_xlfn.SWITCH(F30, "IT",12%,"HR",10%,"SALES",15%,8%)</f>
        <v>0.1</v>
      </c>
      <c r="AF30" t="str">
        <f>LEFT(Table1[[#This Row],[Email ID]],FIND("@",Table1[[#This Row],[Email ID]])-1)</f>
        <v>aisha.g</v>
      </c>
    </row>
    <row r="31" spans="1:32" x14ac:dyDescent="0.3">
      <c r="A31" t="s">
        <v>162</v>
      </c>
      <c r="B31" t="s">
        <v>163</v>
      </c>
      <c r="C31">
        <v>34</v>
      </c>
      <c r="D31" t="s">
        <v>18</v>
      </c>
      <c r="E31" t="s">
        <v>73</v>
      </c>
      <c r="F31" t="s">
        <v>20</v>
      </c>
      <c r="G31" t="s">
        <v>164</v>
      </c>
      <c r="H31" s="1">
        <v>43416</v>
      </c>
      <c r="I31" s="5">
        <v>102000</v>
      </c>
      <c r="J31">
        <v>4.5999999999999996</v>
      </c>
      <c r="K31">
        <v>22</v>
      </c>
      <c r="L31" s="2">
        <v>0.13</v>
      </c>
      <c r="M31" t="s">
        <v>22</v>
      </c>
      <c r="N31">
        <v>7</v>
      </c>
      <c r="O31" t="s">
        <v>165</v>
      </c>
      <c r="P31">
        <v>9876543239</v>
      </c>
      <c r="V31">
        <f t="shared" si="0"/>
        <v>1383119.9999999998</v>
      </c>
      <c r="W31">
        <f ca="1">DATEDIF(Table1[[#This Row],[Joining Date]],TODAY(),"Y")</f>
        <v>7</v>
      </c>
      <c r="X31" t="str">
        <f>TEXT(Table1[[#This Row],[Joining Date]],"DD-MMM-YYYY")</f>
        <v>12-Nov-2018</v>
      </c>
      <c r="Y31" t="str" cm="1">
        <f t="array" aca="1" ref="Y31" ca="1">_xlfn.IFS(Table1[[#This Row],[EXPERIENCE]]&gt;=6,"A",Table1[[#This Row],[EXPERIENCE]]&gt;=3,"B",TRUE,"C")</f>
        <v>A</v>
      </c>
      <c r="Z31" t="str">
        <f>IF(Table1[[#This Row],[ACTC]]&gt;=1000000,"HIGH","LOW")</f>
        <v>HIGH</v>
      </c>
      <c r="AA31">
        <f t="shared" si="1"/>
        <v>0</v>
      </c>
      <c r="AD31" t="str">
        <f t="shared" si="2"/>
        <v>SAFE</v>
      </c>
      <c r="AE31" cm="1">
        <f t="array" ref="AE31">_xlfn.SWITCH(F31, "IT",12%,"HR",10%,"SALES",15%,8%)</f>
        <v>0.12</v>
      </c>
      <c r="AF31" t="str">
        <f>LEFT(Table1[[#This Row],[Email ID]],FIND("@",Table1[[#This Row],[Email ID]])-1)</f>
        <v>samar.k</v>
      </c>
    </row>
    <row r="32" spans="1:32" x14ac:dyDescent="0.3">
      <c r="A32" t="s">
        <v>166</v>
      </c>
      <c r="B32" t="s">
        <v>167</v>
      </c>
      <c r="C32">
        <v>26</v>
      </c>
      <c r="D32" t="s">
        <v>38</v>
      </c>
      <c r="E32" t="s">
        <v>78</v>
      </c>
      <c r="F32" t="s">
        <v>46</v>
      </c>
      <c r="G32" t="s">
        <v>168</v>
      </c>
      <c r="H32" s="1">
        <v>45020</v>
      </c>
      <c r="I32" s="5">
        <v>46000</v>
      </c>
      <c r="J32">
        <v>3.9</v>
      </c>
      <c r="K32">
        <v>5</v>
      </c>
      <c r="L32" s="2">
        <v>0.08</v>
      </c>
      <c r="M32" t="s">
        <v>29</v>
      </c>
      <c r="N32">
        <v>3</v>
      </c>
      <c r="O32" t="s">
        <v>169</v>
      </c>
      <c r="P32">
        <v>9876543240</v>
      </c>
      <c r="V32">
        <f t="shared" si="0"/>
        <v>596160</v>
      </c>
      <c r="W32">
        <f ca="1">DATEDIF(Table1[[#This Row],[Joining Date]],TODAY(),"Y")</f>
        <v>3</v>
      </c>
      <c r="X32" t="str">
        <f>TEXT(Table1[[#This Row],[Joining Date]],"DD-MMM-YYYY")</f>
        <v>04-Apr-2023</v>
      </c>
      <c r="Y32" t="str" cm="1">
        <f t="array" aca="1" ref="Y32" ca="1">_xlfn.IFS(Table1[[#This Row],[EXPERIENCE]]&gt;=6,"A",Table1[[#This Row],[EXPERIENCE]]&gt;=3,"B",TRUE,"C")</f>
        <v>B</v>
      </c>
      <c r="Z32" t="str">
        <f>IF(Table1[[#This Row],[ACTC]]&gt;=1000000,"HIGH","LOW")</f>
        <v>LOW</v>
      </c>
      <c r="AA32">
        <f t="shared" si="1"/>
        <v>0</v>
      </c>
      <c r="AD32" t="str">
        <f t="shared" si="2"/>
        <v>SAFE</v>
      </c>
      <c r="AE32" cm="1">
        <f t="array" ref="AE32">_xlfn.SWITCH(F32, "IT",12%,"HR",10%,"SALES",15%,8%)</f>
        <v>0.08</v>
      </c>
      <c r="AF32" t="str">
        <f>LEFT(Table1[[#This Row],[Email ID]],FIND("@",Table1[[#This Row],[Email ID]])-1)</f>
        <v>prisha.c</v>
      </c>
    </row>
    <row r="33" spans="1:32" x14ac:dyDescent="0.3">
      <c r="A33" t="s">
        <v>170</v>
      </c>
      <c r="B33" t="s">
        <v>171</v>
      </c>
      <c r="C33">
        <v>29</v>
      </c>
      <c r="D33" t="s">
        <v>18</v>
      </c>
      <c r="E33" t="s">
        <v>83</v>
      </c>
      <c r="F33" t="s">
        <v>58</v>
      </c>
      <c r="G33" t="s">
        <v>172</v>
      </c>
      <c r="H33" s="1">
        <v>44367</v>
      </c>
      <c r="I33" s="5">
        <v>61000</v>
      </c>
      <c r="J33">
        <v>3.8</v>
      </c>
      <c r="K33">
        <v>9</v>
      </c>
      <c r="L33" s="2">
        <v>0.09</v>
      </c>
      <c r="M33" t="s">
        <v>29</v>
      </c>
      <c r="N33">
        <v>6</v>
      </c>
      <c r="O33" t="s">
        <v>173</v>
      </c>
      <c r="P33">
        <v>9876543241</v>
      </c>
      <c r="V33">
        <f t="shared" si="0"/>
        <v>797880.00000000012</v>
      </c>
      <c r="W33">
        <f ca="1">DATEDIF(Table1[[#This Row],[Joining Date]],TODAY(),"Y")</f>
        <v>5</v>
      </c>
      <c r="X33" t="str">
        <f>TEXT(Table1[[#This Row],[Joining Date]],"DD-MMM-YYYY")</f>
        <v>20-Jun-2021</v>
      </c>
      <c r="Y33" t="str" cm="1">
        <f t="array" aca="1" ref="Y33" ca="1">_xlfn.IFS(Table1[[#This Row],[EXPERIENCE]]&gt;=6,"A",Table1[[#This Row],[EXPERIENCE]]&gt;=3,"B",TRUE,"C")</f>
        <v>B</v>
      </c>
      <c r="Z33" t="str">
        <f>IF(Table1[[#This Row],[ACTC]]&gt;=1000000,"HIGH","LOW")</f>
        <v>LOW</v>
      </c>
      <c r="AA33">
        <f t="shared" si="1"/>
        <v>0</v>
      </c>
      <c r="AD33" t="str">
        <f t="shared" si="2"/>
        <v>SAFE</v>
      </c>
      <c r="AE33" cm="1">
        <f t="array" ref="AE33">_xlfn.SWITCH(F33, "IT",12%,"HR",10%,"SALES",15%,8%)</f>
        <v>0.08</v>
      </c>
      <c r="AF33" t="str">
        <f>LEFT(Table1[[#This Row],[Email ID]],FIND("@",Table1[[#This Row],[Email ID]])-1)</f>
        <v>daksh.g</v>
      </c>
    </row>
    <row r="34" spans="1:32" x14ac:dyDescent="0.3">
      <c r="A34" t="s">
        <v>174</v>
      </c>
      <c r="B34" t="s">
        <v>175</v>
      </c>
      <c r="C34">
        <v>32</v>
      </c>
      <c r="D34" t="s">
        <v>38</v>
      </c>
      <c r="E34" t="s">
        <v>88</v>
      </c>
      <c r="F34" t="s">
        <v>20</v>
      </c>
      <c r="G34" t="s">
        <v>176</v>
      </c>
      <c r="H34" s="1">
        <v>43497</v>
      </c>
      <c r="I34" s="5">
        <v>135000</v>
      </c>
      <c r="J34">
        <v>4.9000000000000004</v>
      </c>
      <c r="K34">
        <v>30</v>
      </c>
      <c r="L34" s="2">
        <v>0.16</v>
      </c>
      <c r="M34" t="s">
        <v>22</v>
      </c>
      <c r="N34">
        <v>10</v>
      </c>
      <c r="O34" t="s">
        <v>177</v>
      </c>
      <c r="P34">
        <v>9876543242</v>
      </c>
      <c r="V34">
        <f t="shared" ref="V34:V51" si="3">I34*12*(1+L34)</f>
        <v>1879199.9999999998</v>
      </c>
      <c r="W34">
        <f ca="1">DATEDIF(Table1[[#This Row],[Joining Date]],TODAY(),"Y")</f>
        <v>7</v>
      </c>
      <c r="X34" t="str">
        <f>TEXT(Table1[[#This Row],[Joining Date]],"DD-MMM-YYYY")</f>
        <v>01-Feb-2019</v>
      </c>
      <c r="Y34" t="str" cm="1">
        <f t="array" aca="1" ref="Y34" ca="1">_xlfn.IFS(Table1[[#This Row],[EXPERIENCE]]&gt;=6,"A",Table1[[#This Row],[EXPERIENCE]]&gt;=3,"B",TRUE,"C")</f>
        <v>A</v>
      </c>
      <c r="Z34" t="str">
        <f>IF(Table1[[#This Row],[ACTC]]&gt;=1000000,"HIGH","LOW")</f>
        <v>HIGH</v>
      </c>
      <c r="AA34">
        <f t="shared" ref="AA34:AA51" si="4">COUNTIF(U34:U83,"&gt;10")</f>
        <v>0</v>
      </c>
      <c r="AD34" t="str">
        <f t="shared" ref="AD34:AD51" si="5">IF(AND(L34&gt;7,J34&lt;4), "PIP RISK", "SAFE")</f>
        <v>SAFE</v>
      </c>
      <c r="AE34" cm="1">
        <f t="array" ref="AE34">_xlfn.SWITCH(F34, "IT",12%,"HR",10%,"SALES",15%,8%)</f>
        <v>0.12</v>
      </c>
      <c r="AF34" t="str">
        <f>LEFT(Table1[[#This Row],[Email ID]],FIND("@",Table1[[#This Row],[Email ID]])-1)</f>
        <v>meher.b</v>
      </c>
    </row>
    <row r="35" spans="1:32" x14ac:dyDescent="0.3">
      <c r="A35" t="s">
        <v>178</v>
      </c>
      <c r="B35" t="s">
        <v>179</v>
      </c>
      <c r="C35">
        <v>27</v>
      </c>
      <c r="D35" t="s">
        <v>18</v>
      </c>
      <c r="E35" t="s">
        <v>93</v>
      </c>
      <c r="F35" t="s">
        <v>20</v>
      </c>
      <c r="G35" t="s">
        <v>180</v>
      </c>
      <c r="H35" s="1">
        <v>44819</v>
      </c>
      <c r="I35" s="5">
        <v>52000</v>
      </c>
      <c r="J35">
        <v>4</v>
      </c>
      <c r="K35">
        <v>8</v>
      </c>
      <c r="L35" s="2">
        <v>0.09</v>
      </c>
      <c r="M35" t="s">
        <v>22</v>
      </c>
      <c r="N35">
        <v>4</v>
      </c>
      <c r="O35" t="s">
        <v>181</v>
      </c>
      <c r="P35">
        <v>9876543243</v>
      </c>
      <c r="V35">
        <f t="shared" si="3"/>
        <v>680160</v>
      </c>
      <c r="W35">
        <f ca="1">DATEDIF(Table1[[#This Row],[Joining Date]],TODAY(),"Y")</f>
        <v>3</v>
      </c>
      <c r="X35" t="str">
        <f>TEXT(Table1[[#This Row],[Joining Date]],"DD-MMM-YYYY")</f>
        <v>15-Sep-2022</v>
      </c>
      <c r="Y35" t="str" cm="1">
        <f t="array" aca="1" ref="Y35" ca="1">_xlfn.IFS(Table1[[#This Row],[EXPERIENCE]]&gt;=6,"A",Table1[[#This Row],[EXPERIENCE]]&gt;=3,"B",TRUE,"C")</f>
        <v>B</v>
      </c>
      <c r="Z35" t="str">
        <f>IF(Table1[[#This Row],[ACTC]]&gt;=1000000,"HIGH","LOW")</f>
        <v>LOW</v>
      </c>
      <c r="AA35">
        <f t="shared" si="4"/>
        <v>0</v>
      </c>
      <c r="AD35" t="str">
        <f t="shared" si="5"/>
        <v>SAFE</v>
      </c>
      <c r="AE35" cm="1">
        <f t="array" ref="AE35">_xlfn.SWITCH(F35, "IT",12%,"HR",10%,"SALES",15%,8%)</f>
        <v>0.12</v>
      </c>
      <c r="AF35" t="str">
        <f>LEFT(Table1[[#This Row],[Email ID]],FIND("@",Table1[[#This Row],[Email ID]])-1)</f>
        <v>aryan.d</v>
      </c>
    </row>
    <row r="36" spans="1:32" x14ac:dyDescent="0.3">
      <c r="A36" t="s">
        <v>182</v>
      </c>
      <c r="B36" t="s">
        <v>183</v>
      </c>
      <c r="C36">
        <v>31</v>
      </c>
      <c r="D36" t="s">
        <v>38</v>
      </c>
      <c r="E36" t="s">
        <v>98</v>
      </c>
      <c r="F36" t="s">
        <v>52</v>
      </c>
      <c r="G36" t="s">
        <v>184</v>
      </c>
      <c r="H36" s="1">
        <v>43764</v>
      </c>
      <c r="I36" s="5">
        <v>94000</v>
      </c>
      <c r="J36">
        <v>4.5</v>
      </c>
      <c r="K36">
        <v>17</v>
      </c>
      <c r="L36" s="2">
        <v>0.12</v>
      </c>
      <c r="M36" t="s">
        <v>29</v>
      </c>
      <c r="N36">
        <v>7</v>
      </c>
      <c r="O36" t="s">
        <v>185</v>
      </c>
      <c r="P36">
        <v>9876543244</v>
      </c>
      <c r="V36">
        <f t="shared" si="3"/>
        <v>1263360.0000000002</v>
      </c>
      <c r="W36">
        <f ca="1">DATEDIF(Table1[[#This Row],[Joining Date]],TODAY(),"Y")</f>
        <v>6</v>
      </c>
      <c r="X36" t="str">
        <f>TEXT(Table1[[#This Row],[Joining Date]],"DD-MMM-YYYY")</f>
        <v>26-Oct-2019</v>
      </c>
      <c r="Y36" t="str" cm="1">
        <f t="array" aca="1" ref="Y36" ca="1">_xlfn.IFS(Table1[[#This Row],[EXPERIENCE]]&gt;=6,"A",Table1[[#This Row],[EXPERIENCE]]&gt;=3,"B",TRUE,"C")</f>
        <v>A</v>
      </c>
      <c r="Z36" t="str">
        <f>IF(Table1[[#This Row],[ACTC]]&gt;=1000000,"HIGH","LOW")</f>
        <v>HIGH</v>
      </c>
      <c r="AA36">
        <f t="shared" si="4"/>
        <v>0</v>
      </c>
      <c r="AD36" t="str">
        <f t="shared" si="5"/>
        <v>SAFE</v>
      </c>
      <c r="AE36" cm="1">
        <f t="array" ref="AE36">_xlfn.SWITCH(F36, "IT",12%,"HR",10%,"SALES",15%,8%)</f>
        <v>0.08</v>
      </c>
      <c r="AF36" t="str">
        <f>LEFT(Table1[[#This Row],[Email ID]],FIND("@",Table1[[#This Row],[Email ID]])-1)</f>
        <v>anvi.r</v>
      </c>
    </row>
    <row r="37" spans="1:32" x14ac:dyDescent="0.3">
      <c r="A37" t="s">
        <v>186</v>
      </c>
      <c r="B37" t="s">
        <v>187</v>
      </c>
      <c r="C37">
        <v>23</v>
      </c>
      <c r="D37" t="s">
        <v>18</v>
      </c>
      <c r="E37" t="s">
        <v>103</v>
      </c>
      <c r="F37" t="s">
        <v>20</v>
      </c>
      <c r="G37" t="s">
        <v>99</v>
      </c>
      <c r="H37" s="1">
        <v>45430</v>
      </c>
      <c r="I37" s="5">
        <v>26000</v>
      </c>
      <c r="J37">
        <v>3.1</v>
      </c>
      <c r="K37">
        <v>2</v>
      </c>
      <c r="L37" s="2">
        <v>0</v>
      </c>
      <c r="M37" t="s">
        <v>22</v>
      </c>
      <c r="N37">
        <v>1</v>
      </c>
      <c r="O37" t="s">
        <v>188</v>
      </c>
      <c r="P37">
        <v>9876543245</v>
      </c>
      <c r="V37">
        <f t="shared" si="3"/>
        <v>312000</v>
      </c>
      <c r="W37">
        <f ca="1">DATEDIF(Table1[[#This Row],[Joining Date]],TODAY(),"Y")</f>
        <v>2</v>
      </c>
      <c r="X37" t="str">
        <f>TEXT(Table1[[#This Row],[Joining Date]],"DD-MMM-YYYY")</f>
        <v>18-May-2024</v>
      </c>
      <c r="Y37" t="str" cm="1">
        <f t="array" aca="1" ref="Y37" ca="1">_xlfn.IFS(Table1[[#This Row],[EXPERIENCE]]&gt;=6,"A",Table1[[#This Row],[EXPERIENCE]]&gt;=3,"B",TRUE,"C")</f>
        <v>C</v>
      </c>
      <c r="Z37" t="str">
        <f>IF(Table1[[#This Row],[ACTC]]&gt;=1000000,"HIGH","LOW")</f>
        <v>LOW</v>
      </c>
      <c r="AA37">
        <f t="shared" si="4"/>
        <v>0</v>
      </c>
      <c r="AD37" t="str">
        <f t="shared" si="5"/>
        <v>SAFE</v>
      </c>
      <c r="AE37" cm="1">
        <f t="array" ref="AE37">_xlfn.SWITCH(F37, "IT",12%,"HR",10%,"SALES",15%,8%)</f>
        <v>0.12</v>
      </c>
      <c r="AF37" t="str">
        <f>LEFT(Table1[[#This Row],[Email ID]],FIND("@",Table1[[#This Row],[Email ID]])-1)</f>
        <v>neil.a</v>
      </c>
    </row>
    <row r="38" spans="1:32" x14ac:dyDescent="0.3">
      <c r="A38" t="s">
        <v>189</v>
      </c>
      <c r="B38" t="s">
        <v>190</v>
      </c>
      <c r="C38">
        <v>30</v>
      </c>
      <c r="D38" t="s">
        <v>38</v>
      </c>
      <c r="E38" t="s">
        <v>108</v>
      </c>
      <c r="F38" t="s">
        <v>46</v>
      </c>
      <c r="G38" t="s">
        <v>191</v>
      </c>
      <c r="H38" s="1">
        <v>44174</v>
      </c>
      <c r="I38" s="5">
        <v>86000</v>
      </c>
      <c r="J38">
        <v>4.4000000000000004</v>
      </c>
      <c r="K38">
        <v>16</v>
      </c>
      <c r="L38" s="2">
        <v>0.11</v>
      </c>
      <c r="M38" t="s">
        <v>29</v>
      </c>
      <c r="N38">
        <v>5</v>
      </c>
      <c r="O38" t="s">
        <v>192</v>
      </c>
      <c r="P38">
        <v>9876543246</v>
      </c>
      <c r="V38">
        <f t="shared" si="3"/>
        <v>1145520</v>
      </c>
      <c r="W38">
        <f ca="1">DATEDIF(Table1[[#This Row],[Joining Date]],TODAY(),"Y")</f>
        <v>5</v>
      </c>
      <c r="X38" t="str">
        <f>TEXT(Table1[[#This Row],[Joining Date]],"DD-MMM-YYYY")</f>
        <v>09-Dec-2020</v>
      </c>
      <c r="Y38" t="str" cm="1">
        <f t="array" aca="1" ref="Y38" ca="1">_xlfn.IFS(Table1[[#This Row],[EXPERIENCE]]&gt;=6,"A",Table1[[#This Row],[EXPERIENCE]]&gt;=3,"B",TRUE,"C")</f>
        <v>B</v>
      </c>
      <c r="Z38" t="str">
        <f>IF(Table1[[#This Row],[ACTC]]&gt;=1000000,"HIGH","LOW")</f>
        <v>HIGH</v>
      </c>
      <c r="AA38">
        <f t="shared" si="4"/>
        <v>0</v>
      </c>
      <c r="AD38" t="str">
        <f t="shared" si="5"/>
        <v>SAFE</v>
      </c>
      <c r="AE38" cm="1">
        <f t="array" ref="AE38">_xlfn.SWITCH(F38, "IT",12%,"HR",10%,"SALES",15%,8%)</f>
        <v>0.08</v>
      </c>
      <c r="AF38" t="str">
        <f>LEFT(Table1[[#This Row],[Email ID]],FIND("@",Table1[[#This Row],[Email ID]])-1)</f>
        <v>avni.s</v>
      </c>
    </row>
    <row r="39" spans="1:32" x14ac:dyDescent="0.3">
      <c r="A39" t="s">
        <v>193</v>
      </c>
      <c r="B39" t="s">
        <v>194</v>
      </c>
      <c r="C39">
        <v>35</v>
      </c>
      <c r="D39" t="s">
        <v>18</v>
      </c>
      <c r="E39" t="s">
        <v>113</v>
      </c>
      <c r="F39" t="s">
        <v>20</v>
      </c>
      <c r="G39" t="s">
        <v>195</v>
      </c>
      <c r="H39" s="1">
        <v>42562</v>
      </c>
      <c r="I39" s="5">
        <v>250000</v>
      </c>
      <c r="J39">
        <v>5</v>
      </c>
      <c r="K39">
        <v>45</v>
      </c>
      <c r="L39" s="2">
        <v>0.2</v>
      </c>
      <c r="M39" t="s">
        <v>29</v>
      </c>
      <c r="N39">
        <v>15</v>
      </c>
      <c r="O39" t="s">
        <v>196</v>
      </c>
      <c r="P39">
        <v>9876543247</v>
      </c>
      <c r="V39">
        <f t="shared" si="3"/>
        <v>3600000</v>
      </c>
      <c r="W39">
        <f ca="1">DATEDIF(Table1[[#This Row],[Joining Date]],TODAY(),"Y")</f>
        <v>10</v>
      </c>
      <c r="X39" t="str">
        <f>TEXT(Table1[[#This Row],[Joining Date]],"DD-MMM-YYYY")</f>
        <v>11-Jul-2016</v>
      </c>
      <c r="Y39" t="str" cm="1">
        <f t="array" aca="1" ref="Y39" ca="1">_xlfn.IFS(Table1[[#This Row],[EXPERIENCE]]&gt;=6,"A",Table1[[#This Row],[EXPERIENCE]]&gt;=3,"B",TRUE,"C")</f>
        <v>A</v>
      </c>
      <c r="Z39" t="str">
        <f>IF(Table1[[#This Row],[ACTC]]&gt;=1000000,"HIGH","LOW")</f>
        <v>HIGH</v>
      </c>
      <c r="AA39">
        <f t="shared" si="4"/>
        <v>0</v>
      </c>
      <c r="AD39" t="str">
        <f t="shared" si="5"/>
        <v>SAFE</v>
      </c>
      <c r="AE39" cm="1">
        <f t="array" ref="AE39">_xlfn.SWITCH(F39, "IT",12%,"HR",10%,"SALES",15%,8%)</f>
        <v>0.12</v>
      </c>
      <c r="AF39" t="str">
        <f>LEFT(Table1[[#This Row],[Email ID]],FIND("@",Table1[[#This Row],[Email ID]])-1)</f>
        <v>shlok.m</v>
      </c>
    </row>
    <row r="40" spans="1:32" x14ac:dyDescent="0.3">
      <c r="A40" t="s">
        <v>197</v>
      </c>
      <c r="B40" t="s">
        <v>198</v>
      </c>
      <c r="C40">
        <v>28</v>
      </c>
      <c r="D40" t="s">
        <v>38</v>
      </c>
      <c r="E40" t="s">
        <v>118</v>
      </c>
      <c r="F40" t="s">
        <v>40</v>
      </c>
      <c r="G40" t="s">
        <v>199</v>
      </c>
      <c r="H40" s="1">
        <v>44277</v>
      </c>
      <c r="I40" s="5">
        <v>79000</v>
      </c>
      <c r="J40">
        <v>4.5999999999999996</v>
      </c>
      <c r="K40">
        <v>13</v>
      </c>
      <c r="L40" s="2">
        <v>0.11</v>
      </c>
      <c r="M40" t="s">
        <v>29</v>
      </c>
      <c r="N40">
        <v>6</v>
      </c>
      <c r="O40" t="s">
        <v>200</v>
      </c>
      <c r="P40">
        <v>9876543248</v>
      </c>
      <c r="V40">
        <f t="shared" si="3"/>
        <v>1052280</v>
      </c>
      <c r="W40">
        <f ca="1">DATEDIF(Table1[[#This Row],[Joining Date]],TODAY(),"Y")</f>
        <v>5</v>
      </c>
      <c r="X40" t="str">
        <f>TEXT(Table1[[#This Row],[Joining Date]],"DD-MMM-YYYY")</f>
        <v>22-Mar-2021</v>
      </c>
      <c r="Y40" t="str" cm="1">
        <f t="array" aca="1" ref="Y40" ca="1">_xlfn.IFS(Table1[[#This Row],[EXPERIENCE]]&gt;=6,"A",Table1[[#This Row],[EXPERIENCE]]&gt;=3,"B",TRUE,"C")</f>
        <v>B</v>
      </c>
      <c r="Z40" t="str">
        <f>IF(Table1[[#This Row],[ACTC]]&gt;=1000000,"HIGH","LOW")</f>
        <v>HIGH</v>
      </c>
      <c r="AA40">
        <f t="shared" si="4"/>
        <v>0</v>
      </c>
      <c r="AD40" t="str">
        <f t="shared" si="5"/>
        <v>SAFE</v>
      </c>
      <c r="AE40" cm="1">
        <f t="array" ref="AE40">_xlfn.SWITCH(F40, "IT",12%,"HR",10%,"SALES",15%,8%)</f>
        <v>0.1</v>
      </c>
      <c r="AF40" t="str">
        <f>LEFT(Table1[[#This Row],[Email ID]],FIND("@",Table1[[#This Row],[Email ID]])-1)</f>
        <v>trisha.b</v>
      </c>
    </row>
    <row r="41" spans="1:32" x14ac:dyDescent="0.3">
      <c r="A41" t="s">
        <v>201</v>
      </c>
      <c r="B41" t="s">
        <v>202</v>
      </c>
      <c r="C41">
        <v>26</v>
      </c>
      <c r="D41" t="s">
        <v>18</v>
      </c>
      <c r="E41" t="s">
        <v>123</v>
      </c>
      <c r="F41" t="s">
        <v>58</v>
      </c>
      <c r="G41" t="s">
        <v>203</v>
      </c>
      <c r="H41" s="1">
        <v>44780</v>
      </c>
      <c r="I41" s="5">
        <v>67000</v>
      </c>
      <c r="J41">
        <v>3.9</v>
      </c>
      <c r="K41">
        <v>10</v>
      </c>
      <c r="L41" s="2">
        <v>0.09</v>
      </c>
      <c r="M41" t="s">
        <v>29</v>
      </c>
      <c r="N41">
        <v>5</v>
      </c>
      <c r="O41" t="s">
        <v>204</v>
      </c>
      <c r="P41">
        <v>9876543249</v>
      </c>
      <c r="V41">
        <f t="shared" si="3"/>
        <v>876360.00000000012</v>
      </c>
      <c r="W41">
        <f ca="1">DATEDIF(Table1[[#This Row],[Joining Date]],TODAY(),"Y")</f>
        <v>3</v>
      </c>
      <c r="X41" t="str">
        <f>TEXT(Table1[[#This Row],[Joining Date]],"DD-MMM-YYYY")</f>
        <v>07-Aug-2022</v>
      </c>
      <c r="Y41" t="str" cm="1">
        <f t="array" aca="1" ref="Y41" ca="1">_xlfn.IFS(Table1[[#This Row],[EXPERIENCE]]&gt;=6,"A",Table1[[#This Row],[EXPERIENCE]]&gt;=3,"B",TRUE,"C")</f>
        <v>B</v>
      </c>
      <c r="Z41" t="str">
        <f>IF(Table1[[#This Row],[ACTC]]&gt;=1000000,"HIGH","LOW")</f>
        <v>LOW</v>
      </c>
      <c r="AA41">
        <f t="shared" si="4"/>
        <v>0</v>
      </c>
      <c r="AD41" t="str">
        <f t="shared" si="5"/>
        <v>SAFE</v>
      </c>
      <c r="AE41" cm="1">
        <f t="array" ref="AE41">_xlfn.SWITCH(F41, "IT",12%,"HR",10%,"SALES",15%,8%)</f>
        <v>0.08</v>
      </c>
      <c r="AF41" t="str">
        <f>LEFT(Table1[[#This Row],[Email ID]],FIND("@",Table1[[#This Row],[Email ID]])-1)</f>
        <v>kiaan.l</v>
      </c>
    </row>
    <row r="42" spans="1:32" x14ac:dyDescent="0.3">
      <c r="A42" t="s">
        <v>205</v>
      </c>
      <c r="B42" t="s">
        <v>206</v>
      </c>
      <c r="C42">
        <v>29</v>
      </c>
      <c r="D42" t="s">
        <v>38</v>
      </c>
      <c r="E42" t="s">
        <v>19</v>
      </c>
      <c r="F42" t="s">
        <v>27</v>
      </c>
      <c r="G42" t="s">
        <v>207</v>
      </c>
      <c r="H42" s="1">
        <v>43844</v>
      </c>
      <c r="I42" s="5">
        <v>99000</v>
      </c>
      <c r="J42">
        <v>4.7</v>
      </c>
      <c r="K42">
        <v>21</v>
      </c>
      <c r="L42" s="2">
        <v>0.13</v>
      </c>
      <c r="M42" t="s">
        <v>22</v>
      </c>
      <c r="N42">
        <v>8</v>
      </c>
      <c r="O42" t="s">
        <v>208</v>
      </c>
      <c r="P42">
        <v>9876543250</v>
      </c>
      <c r="V42">
        <f t="shared" si="3"/>
        <v>1342439.9999999998</v>
      </c>
      <c r="W42">
        <f ca="1">DATEDIF(Table1[[#This Row],[Joining Date]],TODAY(),"Y")</f>
        <v>6</v>
      </c>
      <c r="X42" t="str">
        <f>TEXT(Table1[[#This Row],[Joining Date]],"DD-MMM-YYYY")</f>
        <v>14-Jan-2020</v>
      </c>
      <c r="Y42" t="str" cm="1">
        <f t="array" aca="1" ref="Y42" ca="1">_xlfn.IFS(Table1[[#This Row],[EXPERIENCE]]&gt;=6,"A",Table1[[#This Row],[EXPERIENCE]]&gt;=3,"B",TRUE,"C")</f>
        <v>A</v>
      </c>
      <c r="Z42" t="str">
        <f>IF(Table1[[#This Row],[ACTC]]&gt;=1000000,"HIGH","LOW")</f>
        <v>HIGH</v>
      </c>
      <c r="AA42">
        <f t="shared" si="4"/>
        <v>0</v>
      </c>
      <c r="AD42" t="str">
        <f t="shared" si="5"/>
        <v>SAFE</v>
      </c>
      <c r="AE42" cm="1">
        <f t="array" ref="AE42">_xlfn.SWITCH(F42, "IT",12%,"HR",10%,"SALES",15%,8%)</f>
        <v>0.15</v>
      </c>
      <c r="AF42" t="str">
        <f>LEFT(Table1[[#This Row],[Email ID]],FIND("@",Table1[[#This Row],[Email ID]])-1)</f>
        <v>siya.m</v>
      </c>
    </row>
    <row r="43" spans="1:32" x14ac:dyDescent="0.3">
      <c r="A43" t="s">
        <v>209</v>
      </c>
      <c r="B43" t="s">
        <v>210</v>
      </c>
      <c r="C43">
        <v>33</v>
      </c>
      <c r="D43" t="s">
        <v>18</v>
      </c>
      <c r="E43" t="s">
        <v>26</v>
      </c>
      <c r="F43" t="s">
        <v>20</v>
      </c>
      <c r="G43" t="s">
        <v>211</v>
      </c>
      <c r="H43" s="1">
        <v>43619</v>
      </c>
      <c r="I43" s="5">
        <v>112000</v>
      </c>
      <c r="J43">
        <v>4.8</v>
      </c>
      <c r="K43">
        <v>24</v>
      </c>
      <c r="L43" s="2">
        <v>0.14000000000000001</v>
      </c>
      <c r="M43" t="s">
        <v>22</v>
      </c>
      <c r="N43">
        <v>9</v>
      </c>
      <c r="O43" t="s">
        <v>212</v>
      </c>
      <c r="P43">
        <v>9876543251</v>
      </c>
      <c r="V43">
        <f t="shared" si="3"/>
        <v>1532160.0000000002</v>
      </c>
      <c r="W43">
        <f ca="1">DATEDIF(Table1[[#This Row],[Joining Date]],TODAY(),"Y")</f>
        <v>7</v>
      </c>
      <c r="X43" t="str">
        <f>TEXT(Table1[[#This Row],[Joining Date]],"DD-MMM-YYYY")</f>
        <v>03-Jun-2019</v>
      </c>
      <c r="Y43" t="str" cm="1">
        <f t="array" aca="1" ref="Y43" ca="1">_xlfn.IFS(Table1[[#This Row],[EXPERIENCE]]&gt;=6,"A",Table1[[#This Row],[EXPERIENCE]]&gt;=3,"B",TRUE,"C")</f>
        <v>A</v>
      </c>
      <c r="Z43" t="str">
        <f>IF(Table1[[#This Row],[ACTC]]&gt;=1000000,"HIGH","LOW")</f>
        <v>HIGH</v>
      </c>
      <c r="AA43">
        <f t="shared" si="4"/>
        <v>0</v>
      </c>
      <c r="AD43" t="str">
        <f t="shared" si="5"/>
        <v>SAFE</v>
      </c>
      <c r="AE43" cm="1">
        <f t="array" ref="AE43">_xlfn.SWITCH(F43, "IT",12%,"HR",10%,"SALES",15%,8%)</f>
        <v>0.12</v>
      </c>
      <c r="AF43" t="str">
        <f>LEFT(Table1[[#This Row],[Email ID]],FIND("@",Table1[[#This Row],[Email ID]])-1)</f>
        <v>nivaan.t</v>
      </c>
    </row>
    <row r="44" spans="1:32" x14ac:dyDescent="0.3">
      <c r="A44" t="s">
        <v>213</v>
      </c>
      <c r="B44" t="s">
        <v>214</v>
      </c>
      <c r="C44">
        <v>24</v>
      </c>
      <c r="D44" t="s">
        <v>38</v>
      </c>
      <c r="E44" t="s">
        <v>33</v>
      </c>
      <c r="F44" t="s">
        <v>52</v>
      </c>
      <c r="G44" t="s">
        <v>215</v>
      </c>
      <c r="H44" s="1">
        <v>45188</v>
      </c>
      <c r="I44" s="5">
        <v>51000</v>
      </c>
      <c r="J44">
        <v>4.0999999999999996</v>
      </c>
      <c r="K44">
        <v>7</v>
      </c>
      <c r="L44" s="2">
        <v>0.08</v>
      </c>
      <c r="M44" t="s">
        <v>22</v>
      </c>
      <c r="N44">
        <v>3</v>
      </c>
      <c r="O44" t="s">
        <v>216</v>
      </c>
      <c r="P44">
        <v>9876543252</v>
      </c>
      <c r="V44">
        <f t="shared" si="3"/>
        <v>660960</v>
      </c>
      <c r="W44">
        <f ca="1">DATEDIF(Table1[[#This Row],[Joining Date]],TODAY(),"Y")</f>
        <v>2</v>
      </c>
      <c r="X44" t="str">
        <f>TEXT(Table1[[#This Row],[Joining Date]],"DD-MMM-YYYY")</f>
        <v>19-Sep-2023</v>
      </c>
      <c r="Y44" t="str" cm="1">
        <f t="array" aca="1" ref="Y44" ca="1">_xlfn.IFS(Table1[[#This Row],[EXPERIENCE]]&gt;=6,"A",Table1[[#This Row],[EXPERIENCE]]&gt;=3,"B",TRUE,"C")</f>
        <v>C</v>
      </c>
      <c r="Z44" t="str">
        <f>IF(Table1[[#This Row],[ACTC]]&gt;=1000000,"HIGH","LOW")</f>
        <v>LOW</v>
      </c>
      <c r="AA44">
        <f t="shared" si="4"/>
        <v>0</v>
      </c>
      <c r="AD44" t="str">
        <f t="shared" si="5"/>
        <v>SAFE</v>
      </c>
      <c r="AE44" cm="1">
        <f t="array" ref="AE44">_xlfn.SWITCH(F44, "IT",12%,"HR",10%,"SALES",15%,8%)</f>
        <v>0.08</v>
      </c>
      <c r="AF44" t="str">
        <f>LEFT(Table1[[#This Row],[Email ID]],FIND("@",Table1[[#This Row],[Email ID]])-1)</f>
        <v>reva.p</v>
      </c>
    </row>
    <row r="45" spans="1:32" x14ac:dyDescent="0.3">
      <c r="A45" t="s">
        <v>217</v>
      </c>
      <c r="B45" t="s">
        <v>218</v>
      </c>
      <c r="C45">
        <v>31</v>
      </c>
      <c r="D45" t="s">
        <v>18</v>
      </c>
      <c r="E45" t="s">
        <v>39</v>
      </c>
      <c r="F45" t="s">
        <v>46</v>
      </c>
      <c r="G45" t="s">
        <v>219</v>
      </c>
      <c r="H45" s="1">
        <v>44255</v>
      </c>
      <c r="I45" s="5">
        <v>73000</v>
      </c>
      <c r="J45">
        <v>4.2</v>
      </c>
      <c r="K45">
        <v>12</v>
      </c>
      <c r="L45" s="2">
        <v>0.1</v>
      </c>
      <c r="M45" t="s">
        <v>29</v>
      </c>
      <c r="N45">
        <v>6</v>
      </c>
      <c r="O45" t="s">
        <v>220</v>
      </c>
      <c r="P45">
        <v>9876543253</v>
      </c>
      <c r="V45">
        <f t="shared" si="3"/>
        <v>963600.00000000012</v>
      </c>
      <c r="W45">
        <f ca="1">DATEDIF(Table1[[#This Row],[Joining Date]],TODAY(),"Y")</f>
        <v>5</v>
      </c>
      <c r="X45" t="str">
        <f>TEXT(Table1[[#This Row],[Joining Date]],"DD-MMM-YYYY")</f>
        <v>28-Feb-2021</v>
      </c>
      <c r="Y45" t="str" cm="1">
        <f t="array" aca="1" ref="Y45" ca="1">_xlfn.IFS(Table1[[#This Row],[EXPERIENCE]]&gt;=6,"A",Table1[[#This Row],[EXPERIENCE]]&gt;=3,"B",TRUE,"C")</f>
        <v>B</v>
      </c>
      <c r="Z45" t="str">
        <f>IF(Table1[[#This Row],[ACTC]]&gt;=1000000,"HIGH","LOW")</f>
        <v>LOW</v>
      </c>
      <c r="AA45">
        <f t="shared" si="4"/>
        <v>0</v>
      </c>
      <c r="AD45" t="str">
        <f t="shared" si="5"/>
        <v>SAFE</v>
      </c>
      <c r="AE45" cm="1">
        <f t="array" ref="AE45">_xlfn.SWITCH(F45, "IT",12%,"HR",10%,"SALES",15%,8%)</f>
        <v>0.08</v>
      </c>
      <c r="AF45" t="str">
        <f>LEFT(Table1[[#This Row],[Email ID]],FIND("@",Table1[[#This Row],[Email ID]])-1)</f>
        <v>dev.s</v>
      </c>
    </row>
    <row r="46" spans="1:32" x14ac:dyDescent="0.3">
      <c r="A46" t="s">
        <v>221</v>
      </c>
      <c r="B46" t="s">
        <v>222</v>
      </c>
      <c r="C46">
        <v>27</v>
      </c>
      <c r="D46" t="s">
        <v>38</v>
      </c>
      <c r="E46" t="s">
        <v>45</v>
      </c>
      <c r="F46" t="s">
        <v>20</v>
      </c>
      <c r="G46" t="s">
        <v>223</v>
      </c>
      <c r="H46" s="1">
        <v>44691</v>
      </c>
      <c r="I46" s="5">
        <v>76000</v>
      </c>
      <c r="J46">
        <v>4.5</v>
      </c>
      <c r="K46">
        <v>14</v>
      </c>
      <c r="L46" s="2">
        <v>0.11</v>
      </c>
      <c r="M46" t="s">
        <v>22</v>
      </c>
      <c r="N46">
        <v>4</v>
      </c>
      <c r="O46" t="s">
        <v>224</v>
      </c>
      <c r="P46">
        <v>9876543254</v>
      </c>
      <c r="V46">
        <f t="shared" si="3"/>
        <v>1012320.0000000001</v>
      </c>
      <c r="W46">
        <f ca="1">DATEDIF(Table1[[#This Row],[Joining Date]],TODAY(),"Y")</f>
        <v>4</v>
      </c>
      <c r="X46" t="str">
        <f>TEXT(Table1[[#This Row],[Joining Date]],"DD-MMM-YYYY")</f>
        <v>10-May-2022</v>
      </c>
      <c r="Y46" t="str" cm="1">
        <f t="array" aca="1" ref="Y46" ca="1">_xlfn.IFS(Table1[[#This Row],[EXPERIENCE]]&gt;=6,"A",Table1[[#This Row],[EXPERIENCE]]&gt;=3,"B",TRUE,"C")</f>
        <v>B</v>
      </c>
      <c r="Z46" t="str">
        <f>IF(Table1[[#This Row],[ACTC]]&gt;=1000000,"HIGH","LOW")</f>
        <v>HIGH</v>
      </c>
      <c r="AA46">
        <f t="shared" si="4"/>
        <v>0</v>
      </c>
      <c r="AD46" t="str">
        <f t="shared" si="5"/>
        <v>SAFE</v>
      </c>
      <c r="AE46" cm="1">
        <f t="array" ref="AE46">_xlfn.SWITCH(F46, "IT",12%,"HR",10%,"SALES",15%,8%)</f>
        <v>0.12</v>
      </c>
      <c r="AF46" t="str">
        <f>LEFT(Table1[[#This Row],[Email ID]],FIND("@",Table1[[#This Row],[Email ID]])-1)</f>
        <v>ira.b</v>
      </c>
    </row>
    <row r="47" spans="1:32" x14ac:dyDescent="0.3">
      <c r="A47" t="s">
        <v>225</v>
      </c>
      <c r="B47" t="s">
        <v>226</v>
      </c>
      <c r="C47">
        <v>34</v>
      </c>
      <c r="D47" t="s">
        <v>18</v>
      </c>
      <c r="E47" t="s">
        <v>51</v>
      </c>
      <c r="F47" t="s">
        <v>58</v>
      </c>
      <c r="G47" t="s">
        <v>227</v>
      </c>
      <c r="H47" s="1">
        <v>43409</v>
      </c>
      <c r="I47" s="5">
        <v>108000</v>
      </c>
      <c r="J47">
        <v>4.3</v>
      </c>
      <c r="K47">
        <v>26</v>
      </c>
      <c r="L47" s="2">
        <v>0.14000000000000001</v>
      </c>
      <c r="M47" t="s">
        <v>29</v>
      </c>
      <c r="N47">
        <v>11</v>
      </c>
      <c r="O47" t="s">
        <v>228</v>
      </c>
      <c r="P47">
        <v>9876543255</v>
      </c>
      <c r="V47">
        <f t="shared" si="3"/>
        <v>1477440.0000000002</v>
      </c>
      <c r="W47">
        <f ca="1">DATEDIF(Table1[[#This Row],[Joining Date]],TODAY(),"Y")</f>
        <v>7</v>
      </c>
      <c r="X47" t="str">
        <f>TEXT(Table1[[#This Row],[Joining Date]],"DD-MMM-YYYY")</f>
        <v>05-Nov-2018</v>
      </c>
      <c r="Y47" t="str" cm="1">
        <f t="array" aca="1" ref="Y47" ca="1">_xlfn.IFS(Table1[[#This Row],[EXPERIENCE]]&gt;=6,"A",Table1[[#This Row],[EXPERIENCE]]&gt;=3,"B",TRUE,"C")</f>
        <v>A</v>
      </c>
      <c r="Z47" t="str">
        <f>IF(Table1[[#This Row],[ACTC]]&gt;=1000000,"HIGH","LOW")</f>
        <v>HIGH</v>
      </c>
      <c r="AA47">
        <f t="shared" si="4"/>
        <v>0</v>
      </c>
      <c r="AD47" t="str">
        <f t="shared" si="5"/>
        <v>SAFE</v>
      </c>
      <c r="AE47" cm="1">
        <f t="array" ref="AE47">_xlfn.SWITCH(F47, "IT",12%,"HR",10%,"SALES",15%,8%)</f>
        <v>0.08</v>
      </c>
      <c r="AF47" t="str">
        <f>LEFT(Table1[[#This Row],[Email ID]],FIND("@",Table1[[#This Row],[Email ID]])-1)</f>
        <v>raunak.g</v>
      </c>
    </row>
    <row r="48" spans="1:32" x14ac:dyDescent="0.3">
      <c r="A48" t="s">
        <v>229</v>
      </c>
      <c r="B48" t="s">
        <v>230</v>
      </c>
      <c r="C48">
        <v>25</v>
      </c>
      <c r="D48" t="s">
        <v>38</v>
      </c>
      <c r="E48" t="s">
        <v>68</v>
      </c>
      <c r="F48" t="s">
        <v>27</v>
      </c>
      <c r="G48" t="s">
        <v>231</v>
      </c>
      <c r="H48" s="1">
        <v>45123</v>
      </c>
      <c r="I48" s="5">
        <v>54000</v>
      </c>
      <c r="J48">
        <v>3.8</v>
      </c>
      <c r="K48">
        <v>6</v>
      </c>
      <c r="L48" s="2">
        <v>0.08</v>
      </c>
      <c r="M48" t="s">
        <v>22</v>
      </c>
      <c r="N48">
        <v>3</v>
      </c>
      <c r="O48" t="s">
        <v>232</v>
      </c>
      <c r="P48">
        <v>9876543256</v>
      </c>
      <c r="V48">
        <f t="shared" si="3"/>
        <v>699840</v>
      </c>
      <c r="W48">
        <f ca="1">DATEDIF(Table1[[#This Row],[Joining Date]],TODAY(),"Y")</f>
        <v>3</v>
      </c>
      <c r="X48" t="str">
        <f>TEXT(Table1[[#This Row],[Joining Date]],"DD-MMM-YYYY")</f>
        <v>16-Jul-2023</v>
      </c>
      <c r="Y48" t="str" cm="1">
        <f t="array" aca="1" ref="Y48" ca="1">_xlfn.IFS(Table1[[#This Row],[EXPERIENCE]]&gt;=6,"A",Table1[[#This Row],[EXPERIENCE]]&gt;=3,"B",TRUE,"C")</f>
        <v>B</v>
      </c>
      <c r="Z48" t="str">
        <f>IF(Table1[[#This Row],[ACTC]]&gt;=1000000,"HIGH","LOW")</f>
        <v>LOW</v>
      </c>
      <c r="AA48">
        <f t="shared" si="4"/>
        <v>0</v>
      </c>
      <c r="AD48" t="str">
        <f t="shared" si="5"/>
        <v>SAFE</v>
      </c>
      <c r="AE48" cm="1">
        <f t="array" ref="AE48">_xlfn.SWITCH(F48, "IT",12%,"HR",10%,"SALES",15%,8%)</f>
        <v>0.15</v>
      </c>
      <c r="AF48" t="str">
        <f>LEFT(Table1[[#This Row],[Email ID]],FIND("@",Table1[[#This Row],[Email ID]])-1)</f>
        <v>naina.a</v>
      </c>
    </row>
    <row r="49" spans="1:32" x14ac:dyDescent="0.3">
      <c r="A49" t="s">
        <v>233</v>
      </c>
      <c r="B49" t="s">
        <v>234</v>
      </c>
      <c r="C49">
        <v>30</v>
      </c>
      <c r="D49" t="s">
        <v>18</v>
      </c>
      <c r="E49" t="s">
        <v>57</v>
      </c>
      <c r="F49" t="s">
        <v>20</v>
      </c>
      <c r="G49" t="s">
        <v>235</v>
      </c>
      <c r="H49" s="1">
        <v>43942</v>
      </c>
      <c r="I49" s="5">
        <v>140000</v>
      </c>
      <c r="J49">
        <v>4.9000000000000004</v>
      </c>
      <c r="K49">
        <v>32</v>
      </c>
      <c r="L49" s="2">
        <v>0.17</v>
      </c>
      <c r="M49" t="s">
        <v>22</v>
      </c>
      <c r="N49">
        <v>10</v>
      </c>
      <c r="O49" t="s">
        <v>236</v>
      </c>
      <c r="P49">
        <v>9876543257</v>
      </c>
      <c r="V49">
        <f t="shared" si="3"/>
        <v>1965599.9999999998</v>
      </c>
      <c r="W49">
        <f ca="1">DATEDIF(Table1[[#This Row],[Joining Date]],TODAY(),"Y")</f>
        <v>6</v>
      </c>
      <c r="X49" t="str">
        <f>TEXT(Table1[[#This Row],[Joining Date]],"DD-MMM-YYYY")</f>
        <v>21-Apr-2020</v>
      </c>
      <c r="Y49" t="str" cm="1">
        <f t="array" aca="1" ref="Y49" ca="1">_xlfn.IFS(Table1[[#This Row],[EXPERIENCE]]&gt;=6,"A",Table1[[#This Row],[EXPERIENCE]]&gt;=3,"B",TRUE,"C")</f>
        <v>A</v>
      </c>
      <c r="Z49" t="str">
        <f>IF(Table1[[#This Row],[ACTC]]&gt;=1000000,"HIGH","LOW")</f>
        <v>HIGH</v>
      </c>
      <c r="AA49">
        <f t="shared" si="4"/>
        <v>0</v>
      </c>
      <c r="AD49" t="str">
        <f t="shared" si="5"/>
        <v>SAFE</v>
      </c>
      <c r="AE49" cm="1">
        <f t="array" ref="AE49">_xlfn.SWITCH(F49, "IT",12%,"HR",10%,"SALES",15%,8%)</f>
        <v>0.12</v>
      </c>
      <c r="AF49" t="str">
        <f>LEFT(Table1[[#This Row],[Email ID]],FIND("@",Table1[[#This Row],[Email ID]])-1)</f>
        <v>ehaan.c</v>
      </c>
    </row>
    <row r="50" spans="1:32" x14ac:dyDescent="0.3">
      <c r="A50" t="s">
        <v>237</v>
      </c>
      <c r="B50" t="s">
        <v>238</v>
      </c>
      <c r="C50">
        <v>28</v>
      </c>
      <c r="D50" t="s">
        <v>38</v>
      </c>
      <c r="E50" t="s">
        <v>63</v>
      </c>
      <c r="F50" t="s">
        <v>40</v>
      </c>
      <c r="G50" t="s">
        <v>239</v>
      </c>
      <c r="H50" s="1">
        <v>43801</v>
      </c>
      <c r="I50" s="5">
        <v>91000</v>
      </c>
      <c r="J50">
        <v>4.5999999999999996</v>
      </c>
      <c r="K50">
        <v>19</v>
      </c>
      <c r="L50" s="2">
        <v>0.12</v>
      </c>
      <c r="M50" t="s">
        <v>29</v>
      </c>
      <c r="N50">
        <v>7</v>
      </c>
      <c r="O50" t="s">
        <v>240</v>
      </c>
      <c r="P50">
        <v>9876543258</v>
      </c>
      <c r="V50">
        <f t="shared" si="3"/>
        <v>1223040</v>
      </c>
      <c r="W50">
        <f ca="1">DATEDIF(Table1[[#This Row],[Joining Date]],TODAY(),"Y")</f>
        <v>6</v>
      </c>
      <c r="X50" t="str">
        <f>TEXT(Table1[[#This Row],[Joining Date]],"DD-MMM-YYYY")</f>
        <v>02-Dec-2019</v>
      </c>
      <c r="Y50" t="str" cm="1">
        <f t="array" aca="1" ref="Y50" ca="1">_xlfn.IFS(Table1[[#This Row],[EXPERIENCE]]&gt;=6,"A",Table1[[#This Row],[EXPERIENCE]]&gt;=3,"B",TRUE,"C")</f>
        <v>A</v>
      </c>
      <c r="Z50" t="str">
        <f>IF(Table1[[#This Row],[ACTC]]&gt;=1000000,"HIGH","LOW")</f>
        <v>HIGH</v>
      </c>
      <c r="AA50">
        <f t="shared" si="4"/>
        <v>0</v>
      </c>
      <c r="AD50" t="str">
        <f t="shared" si="5"/>
        <v>SAFE</v>
      </c>
      <c r="AE50" cm="1">
        <f t="array" ref="AE50">_xlfn.SWITCH(F50, "IT",12%,"HR",10%,"SALES",15%,8%)</f>
        <v>0.1</v>
      </c>
      <c r="AF50" t="str">
        <f>LEFT(Table1[[#This Row],[Email ID]],FIND("@",Table1[[#This Row],[Email ID]])-1)</f>
        <v>gauri.d</v>
      </c>
    </row>
    <row r="51" spans="1:32" x14ac:dyDescent="0.3">
      <c r="A51" t="s">
        <v>241</v>
      </c>
      <c r="B51" t="s">
        <v>242</v>
      </c>
      <c r="C51">
        <v>32</v>
      </c>
      <c r="D51" t="s">
        <v>18</v>
      </c>
      <c r="E51" t="s">
        <v>73</v>
      </c>
      <c r="F51" t="s">
        <v>52</v>
      </c>
      <c r="G51" t="s">
        <v>243</v>
      </c>
      <c r="H51" s="1">
        <v>42964</v>
      </c>
      <c r="I51" s="5">
        <v>195000</v>
      </c>
      <c r="J51">
        <v>4.9000000000000004</v>
      </c>
      <c r="K51">
        <v>40</v>
      </c>
      <c r="L51" s="2">
        <v>0.18</v>
      </c>
      <c r="M51" t="s">
        <v>29</v>
      </c>
      <c r="N51">
        <v>13</v>
      </c>
      <c r="O51" t="s">
        <v>244</v>
      </c>
      <c r="P51">
        <v>9876543259</v>
      </c>
      <c r="V51">
        <f t="shared" si="3"/>
        <v>2761200</v>
      </c>
      <c r="W51">
        <f ca="1">DATEDIF(Table1[[#This Row],[Joining Date]],TODAY(),"Y")</f>
        <v>8</v>
      </c>
      <c r="X51" t="str">
        <f>TEXT(Table1[[#This Row],[Joining Date]],"DD-MMM-YYYY")</f>
        <v>17-Aug-2017</v>
      </c>
      <c r="Y51" t="str" cm="1">
        <f t="array" aca="1" ref="Y51" ca="1">_xlfn.IFS(Table1[[#This Row],[EXPERIENCE]]&gt;=6,"A",Table1[[#This Row],[EXPERIENCE]]&gt;=3,"B",TRUE,"C")</f>
        <v>A</v>
      </c>
      <c r="Z51" t="str">
        <f>IF(Table1[[#This Row],[ACTC]]&gt;=1000000,"HIGH","LOW")</f>
        <v>HIGH</v>
      </c>
      <c r="AA51">
        <f t="shared" si="4"/>
        <v>0</v>
      </c>
      <c r="AD51" t="str">
        <f t="shared" si="5"/>
        <v>SAFE</v>
      </c>
      <c r="AE51" cm="1">
        <f t="array" ref="AE51">_xlfn.SWITCH(F51, "IT",12%,"HR",10%,"SALES",15%,8%)</f>
        <v>0.08</v>
      </c>
      <c r="AF51" t="str">
        <f>LEFT(Table1[[#This Row],[Email ID]],FIND("@",Table1[[#This Row],[Email ID]])-1)</f>
        <v>om.k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Bonus_Analysis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 Kushwaha</dc:creator>
  <cp:lastModifiedBy>Amar Kushwaha</cp:lastModifiedBy>
  <dcterms:created xsi:type="dcterms:W3CDTF">2026-06-29T13:58:03Z</dcterms:created>
  <dcterms:modified xsi:type="dcterms:W3CDTF">2026-07-16T17:12:38Z</dcterms:modified>
</cp:coreProperties>
</file>