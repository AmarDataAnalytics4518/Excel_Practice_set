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ites\Downloads\Telegram Desktop\"/>
    </mc:Choice>
  </mc:AlternateContent>
  <xr:revisionPtr revIDLastSave="0" documentId="13_ncr:1_{F0AA9813-D5FA-4159-A7BB-7263A7B5B1CA}" xr6:coauthVersionLast="47" xr6:coauthVersionMax="47" xr10:uidLastSave="{00000000-0000-0000-0000-000000000000}"/>
  <bookViews>
    <workbookView xWindow="-90" yWindow="-90" windowWidth="19380" windowHeight="11460" activeTab="2" xr2:uid="{31C8A04B-6A11-400F-ACCF-3D1103B031BC}"/>
  </bookViews>
  <sheets>
    <sheet name="DASHBOARDS" sheetId="3" r:id="rId1"/>
    <sheet name="Cleaned_Data" sheetId="2" r:id="rId2"/>
    <sheet name="RawData" sheetId="1" r:id="rId3"/>
  </sheets>
  <definedNames>
    <definedName name="ExternalData_1" localSheetId="1" hidden="1">Cleaned_Data!$A$1:$M$31</definedName>
    <definedName name="Slicer_City">#N/A</definedName>
    <definedName name="Slicer_Cuisin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2" i="2" l="1"/>
  <c r="I32" i="2"/>
  <c r="L3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0FAFFA-58AE-4F40-8A6C-737CB19DAC2A}"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<sst xmlns="http://schemas.openxmlformats.org/spreadsheetml/2006/main" count="419" uniqueCount="79">
  <si>
    <t>SWG10005</t>
  </si>
  <si>
    <t>Bangalore</t>
  </si>
  <si>
    <t>Dominoz</t>
  </si>
  <si>
    <t>Pizza</t>
  </si>
  <si>
    <t>UPI</t>
  </si>
  <si>
    <t>Delivered</t>
  </si>
  <si>
    <t>Order_ID</t>
  </si>
  <si>
    <t>Order_Date</t>
  </si>
  <si>
    <t>City</t>
  </si>
  <si>
    <t>Restaurant_Name</t>
  </si>
  <si>
    <t>Cuisine</t>
  </si>
  <si>
    <t>Order_Value</t>
  </si>
  <si>
    <t>Delivery_Fee</t>
  </si>
  <si>
    <t>Discount</t>
  </si>
  <si>
    <t>Net_Revenue</t>
  </si>
  <si>
    <t>Delivery_Time_min</t>
  </si>
  <si>
    <t>Payment_Method</t>
  </si>
  <si>
    <t>Customer_Rating</t>
  </si>
  <si>
    <t>Order_Status</t>
  </si>
  <si>
    <t>SWG10000</t>
  </si>
  <si>
    <t>Meghana Foods</t>
  </si>
  <si>
    <t>Biryani</t>
  </si>
  <si>
    <t>SWG10001</t>
  </si>
  <si>
    <t>Mumbai</t>
  </si>
  <si>
    <t>Truffles</t>
  </si>
  <si>
    <t>Burgers</t>
  </si>
  <si>
    <t>Credit Card</t>
  </si>
  <si>
    <t>SWG10002</t>
  </si>
  <si>
    <t>Delhi</t>
  </si>
  <si>
    <t>Karims</t>
  </si>
  <si>
    <t>North Indian</t>
  </si>
  <si>
    <t>SWG10003</t>
  </si>
  <si>
    <t>Hyderabad</t>
  </si>
  <si>
    <t>Paradise</t>
  </si>
  <si>
    <t>SWG10004</t>
  </si>
  <si>
    <t>Pune</t>
  </si>
  <si>
    <t>Wow Momo</t>
  </si>
  <si>
    <t>Chinese</t>
  </si>
  <si>
    <t>Wallet</t>
  </si>
  <si>
    <t>SWG10006</t>
  </si>
  <si>
    <t>Burger King</t>
  </si>
  <si>
    <t>COD</t>
  </si>
  <si>
    <t>SWG10007</t>
  </si>
  <si>
    <t>South Indian</t>
  </si>
  <si>
    <t>SWG10008</t>
  </si>
  <si>
    <t>Kolkata</t>
  </si>
  <si>
    <t>Desserts</t>
  </si>
  <si>
    <t>Net Banking</t>
  </si>
  <si>
    <t>SWG10009</t>
  </si>
  <si>
    <t>Chennai</t>
  </si>
  <si>
    <t>Healthy</t>
  </si>
  <si>
    <t>SWG10010</t>
  </si>
  <si>
    <t>Cancelled</t>
  </si>
  <si>
    <t>SWG10011</t>
  </si>
  <si>
    <t>SWG10012</t>
  </si>
  <si>
    <t>SWG10013</t>
  </si>
  <si>
    <t>SWG10014</t>
  </si>
  <si>
    <t>SWG10015</t>
  </si>
  <si>
    <t>SWG10016</t>
  </si>
  <si>
    <t>SWG10017</t>
  </si>
  <si>
    <t>SWG10018</t>
  </si>
  <si>
    <t>SWG10019</t>
  </si>
  <si>
    <t>SWG10020</t>
  </si>
  <si>
    <t>SWG10021</t>
  </si>
  <si>
    <t>SWG10022</t>
  </si>
  <si>
    <t>SWG10023</t>
  </si>
  <si>
    <t>SWG10024</t>
  </si>
  <si>
    <t>SWG10025</t>
  </si>
  <si>
    <t>SWG10026</t>
  </si>
  <si>
    <t>SWG10027</t>
  </si>
  <si>
    <t>SWG10028</t>
  </si>
  <si>
    <t>SWG10029</t>
  </si>
  <si>
    <t>Grand Total</t>
  </si>
  <si>
    <t>Sum of Order_Value</t>
  </si>
  <si>
    <t>Sum of Net_Revenue</t>
  </si>
  <si>
    <t>Avg. Rating</t>
  </si>
  <si>
    <t>Average of Customer_Rating</t>
  </si>
  <si>
    <t>CITY</t>
  </si>
  <si>
    <t>CUISINE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</si>
</sst>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7" x14ac:knownFonts="1">
    <font>
      <sz val="11"/>
      <color theme="1"/>
      <name val="Calibri"/>
      <family val="2"/>
      <scheme val="minor"/>
    </font>
    <font>
      <b/>
      <sz val="11"/>
      <color theme="1"/>
      <name val="Calibri"/>
      <family val="2"/>
      <scheme val="minor"/>
    </font>
    <font>
      <b/>
      <sz val="14"/>
      <color theme="1"/>
      <name val="Calibri"/>
      <family val="2"/>
      <scheme val="minor"/>
    </font>
    <font>
      <sz val="14"/>
      <color theme="1"/>
      <name val="Calibri"/>
      <family val="2"/>
      <scheme val="minor"/>
    </font>
    <font>
      <sz val="11"/>
      <color rgb="FFFF0000"/>
      <name val="Calibri"/>
      <family val="2"/>
      <scheme val="minor"/>
    </font>
    <font>
      <b/>
      <sz val="12"/>
      <color theme="1"/>
      <name val="Calibri"/>
      <family val="2"/>
      <scheme val="minor"/>
    </font>
    <font>
      <sz val="11"/>
      <color theme="2" tint="-0.89999084444715716"/>
      <name val="Calibri"/>
      <family val="2"/>
      <scheme val="minor"/>
    </font>
  </fonts>
  <fills count="7">
    <fill>
      <patternFill patternType="none"/>
    </fill>
    <fill>
      <patternFill patternType="gray125"/>
    </fill>
    <fill>
      <patternFill patternType="solid">
        <fgColor theme="5" tint="0.39997558519241921"/>
        <bgColor indexed="64"/>
      </patternFill>
    </fill>
    <fill>
      <patternFill patternType="solid">
        <fgColor theme="6"/>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6" fontId="0" fillId="0" borderId="0" xfId="0" applyNumberFormat="1" applyAlignment="1">
      <alignment horizontal="center"/>
    </xf>
    <xf numFmtId="10" fontId="0" fillId="0" borderId="0" xfId="0" applyNumberFormat="1" applyAlignment="1">
      <alignment horizontal="center"/>
    </xf>
    <xf numFmtId="0" fontId="3" fillId="0" borderId="0" xfId="0" applyFont="1"/>
    <xf numFmtId="0" fontId="2" fillId="2" borderId="0" xfId="0" applyFont="1" applyFill="1" applyAlignment="1">
      <alignment horizontal="center"/>
    </xf>
    <xf numFmtId="0" fontId="1" fillId="2" borderId="0" xfId="0" applyFont="1" applyFill="1" applyAlignment="1">
      <alignment horizontal="center"/>
    </xf>
    <xf numFmtId="14" fontId="1" fillId="2" borderId="0" xfId="0" applyNumberFormat="1" applyFont="1" applyFill="1" applyAlignment="1">
      <alignment horizontal="center"/>
    </xf>
    <xf numFmtId="0" fontId="0" fillId="0" borderId="0" xfId="0" applyAlignment="1">
      <alignment horizontal="center"/>
    </xf>
    <xf numFmtId="14" fontId="0" fillId="0" borderId="0" xfId="0" applyNumberFormat="1"/>
    <xf numFmtId="0" fontId="0" fillId="3" borderId="0" xfId="0" applyFill="1"/>
    <xf numFmtId="0" fontId="0" fillId="4" borderId="0" xfId="0" applyFill="1"/>
    <xf numFmtId="0" fontId="5" fillId="2" borderId="1" xfId="0" applyFont="1" applyFill="1" applyBorder="1"/>
    <xf numFmtId="0" fontId="5" fillId="2" borderId="1" xfId="0" applyFont="1" applyFill="1" applyBorder="1" applyAlignment="1">
      <alignment horizontal="left"/>
    </xf>
    <xf numFmtId="0" fontId="4" fillId="6" borderId="0" xfId="0" applyFont="1" applyFill="1"/>
    <xf numFmtId="0" fontId="4" fillId="6" borderId="0" xfId="0" applyFont="1" applyFill="1" applyAlignment="1">
      <alignment horizontal="left"/>
    </xf>
    <xf numFmtId="0" fontId="6" fillId="5" borderId="1" xfId="0" applyFont="1" applyFill="1" applyBorder="1"/>
    <xf numFmtId="0" fontId="6" fillId="5" borderId="1" xfId="0" applyFont="1" applyFill="1" applyBorder="1" applyAlignment="1">
      <alignment horizontal="left"/>
    </xf>
    <xf numFmtId="0" fontId="4" fillId="6" borderId="0" xfId="0" applyNumberFormat="1" applyFont="1" applyFill="1"/>
    <xf numFmtId="0" fontId="6" fillId="5" borderId="1" xfId="0" applyNumberFormat="1" applyFont="1" applyFill="1" applyBorder="1"/>
  </cellXfs>
  <cellStyles count="1">
    <cellStyle name="Normal" xfId="0" builtinId="0"/>
  </cellStyles>
  <dxfs count="221">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rgb="FFFF0000"/>
      </font>
    </dxf>
    <dxf>
      <font>
        <color rgb="FFFF0000"/>
      </font>
    </dxf>
    <dxf>
      <font>
        <color rgb="FFFF0000"/>
      </font>
    </dxf>
    <dxf>
      <font>
        <color rgb="FFFF0000"/>
      </font>
    </dxf>
    <dxf>
      <font>
        <color rgb="FFFF0000"/>
      </font>
    </dxf>
    <dxf>
      <font>
        <color rgb="FFFF0000"/>
      </font>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rgb="FFFF0000"/>
      </font>
    </dxf>
    <dxf>
      <font>
        <color rgb="FFFF0000"/>
      </font>
    </dxf>
    <dxf>
      <font>
        <color rgb="FFFF0000"/>
      </font>
    </dxf>
    <dxf>
      <font>
        <color rgb="FFFF0000"/>
      </font>
    </dxf>
    <dxf>
      <font>
        <color rgb="FFFF0000"/>
      </font>
    </dxf>
    <dxf>
      <font>
        <color rgb="FFFF0000"/>
      </font>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rgb="FFFF0000"/>
      </font>
    </dxf>
    <dxf>
      <font>
        <color rgb="FFFF0000"/>
      </font>
    </dxf>
    <dxf>
      <font>
        <color rgb="FFFF0000"/>
      </font>
    </dxf>
    <dxf>
      <font>
        <color rgb="FFFF0000"/>
      </font>
    </dxf>
    <dxf>
      <font>
        <color rgb="FFFF0000"/>
      </font>
    </dxf>
    <dxf>
      <font>
        <color rgb="FFFF0000"/>
      </font>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rgb="FFFF0000"/>
      </font>
    </dxf>
    <dxf>
      <font>
        <color rgb="FFFF0000"/>
      </font>
    </dxf>
    <dxf>
      <font>
        <color rgb="FFFF0000"/>
      </font>
    </dxf>
    <dxf>
      <font>
        <color rgb="FFFF0000"/>
      </font>
    </dxf>
    <dxf>
      <font>
        <color rgb="FFFF0000"/>
      </font>
    </dxf>
    <dxf>
      <font>
        <color rgb="FFFF0000"/>
      </font>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rgb="FFFF0000"/>
      </font>
    </dxf>
    <dxf>
      <font>
        <color rgb="FFFF0000"/>
      </font>
    </dxf>
    <dxf>
      <font>
        <color rgb="FFFF0000"/>
      </font>
    </dxf>
    <dxf>
      <font>
        <color rgb="FFFF0000"/>
      </font>
    </dxf>
    <dxf>
      <font>
        <color rgb="FFFF0000"/>
      </font>
    </dxf>
    <dxf>
      <font>
        <color rgb="FFFF0000"/>
      </font>
    </dxf>
    <dxf>
      <font>
        <b/>
        <i val="0"/>
        <strike val="0"/>
        <condense val="0"/>
        <extend val="0"/>
        <outline val="0"/>
        <shadow val="0"/>
        <u val="none"/>
        <vertAlign val="baseline"/>
        <sz val="11"/>
        <color theme="1"/>
        <name val="Calibri"/>
        <family val="2"/>
        <scheme val="minor"/>
      </font>
      <fill>
        <patternFill patternType="solid">
          <fgColor indexed="64"/>
          <bgColor theme="5" tint="0.3999755851924192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5" tint="0.3999755851924192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5" tint="0.3999755851924192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5" tint="0.3999755851924192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5" tint="0.3999755851924192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5" tint="0.3999755851924192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5" tint="0.3999755851924192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5" tint="0.3999755851924192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5" tint="0.3999755851924192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5" tint="0.3999755851924192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5" tint="0.3999755851924192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9" formatCode="dd/mm/yyyy"/>
      <fill>
        <patternFill patternType="solid">
          <fgColor indexed="64"/>
          <bgColor theme="5" tint="0.3999755851924192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5" tint="0.3999755851924192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5" tint="0.39997558519241921"/>
        </patternFill>
      </fill>
      <alignment horizontal="center" vertical="bottom" textRotation="0" wrapText="0" indent="0" justifyLastLine="0" shrinkToFit="0" readingOrder="0"/>
    </dxf>
    <dxf>
      <font>
        <b/>
        <i val="0"/>
        <strike val="0"/>
        <condense val="0"/>
        <extend val="0"/>
        <outline val="0"/>
        <shadow val="0"/>
        <u val="none"/>
        <vertAlign val="baseline"/>
        <sz val="14"/>
        <color theme="1"/>
        <name val="Calibri"/>
        <family val="2"/>
        <scheme val="minor"/>
      </font>
      <fill>
        <patternFill patternType="solid">
          <fgColor indexed="64"/>
          <bgColor theme="5" tint="0.39997558519241921"/>
        </patternFill>
      </fill>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font>
        <color rgb="FFFF0000"/>
      </font>
    </dxf>
    <dxf>
      <font>
        <color rgb="FFFF0000"/>
      </font>
    </dxf>
    <dxf>
      <font>
        <color rgb="FFFF0000"/>
      </font>
    </dxf>
    <dxf>
      <font>
        <color rgb="FFFF0000"/>
      </font>
    </dxf>
    <dxf>
      <font>
        <color rgb="FFFF0000"/>
      </font>
    </dxf>
    <dxf>
      <font>
        <color rgb="FFFF0000"/>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ont>
        <color theme="2" tint="-0.89999084444715716"/>
      </font>
    </dxf>
    <dxf>
      <font>
        <color theme="2" tint="-0.89999084444715716"/>
      </font>
    </dxf>
    <dxf>
      <font>
        <color theme="2" tint="-0.89999084444715716"/>
      </font>
    </dxf>
    <dxf>
      <font>
        <color theme="2" tint="-0.89999084444715716"/>
      </font>
    </dxf>
    <dxf>
      <font>
        <color theme="2" tint="-0.89999084444715716"/>
      </font>
    </dxf>
    <dxf>
      <font>
        <color theme="2" tint="-0.899990844447157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[Swiggy_DashBoard.xlsx]DASHBOARDS!PivotTable1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CITY</a:t>
            </a:r>
            <a:r>
              <a:rPr lang="en-IN" baseline="0"/>
              <a:t> WISE PROFIT</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gradFill>
              <a:gsLst>
                <a:gs pos="57305">
                  <a:srgbClr val="FF0000">
                    <a:lumMod val="95000"/>
                  </a:srgbClr>
                </a:gs>
                <a:gs pos="38554">
                  <a:srgbClr val="CFDBEF"/>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DASHBOARDS!$B$6</c:f>
              <c:strCache>
                <c:ptCount val="1"/>
                <c:pt idx="0">
                  <c:v>Sum of Net_Revenue</c:v>
                </c:pt>
              </c:strCache>
            </c:strRef>
          </c:tx>
          <c:spPr>
            <a:noFill/>
            <a:ln w="9525" cap="flat" cmpd="sng" algn="ctr">
              <a:gradFill>
                <a:gsLst>
                  <a:gs pos="57305">
                    <a:srgbClr val="FF0000">
                      <a:lumMod val="95000"/>
                    </a:srgbClr>
                  </a:gs>
                  <a:gs pos="38554">
                    <a:srgbClr val="CFDBEF"/>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miter lim="800000"/>
            </a:ln>
            <a:effectLst>
              <a:glow rad="63500">
                <a:schemeClr val="accent4">
                  <a:shade val="76000"/>
                  <a:satMod val="175000"/>
                  <a:alpha val="25000"/>
                </a:schemeClr>
              </a:glow>
            </a:effectLst>
          </c:spPr>
          <c:invertIfNegative val="0"/>
          <c:cat>
            <c:strRef>
              <c:f>DASHBOARDS!$A$7:$A$14</c:f>
              <c:strCache>
                <c:ptCount val="7"/>
                <c:pt idx="0">
                  <c:v>Bangalore</c:v>
                </c:pt>
                <c:pt idx="1">
                  <c:v>Chennai</c:v>
                </c:pt>
                <c:pt idx="2">
                  <c:v>Delhi</c:v>
                </c:pt>
                <c:pt idx="3">
                  <c:v>Hyderabad</c:v>
                </c:pt>
                <c:pt idx="4">
                  <c:v>Kolkata</c:v>
                </c:pt>
                <c:pt idx="5">
                  <c:v>Mumbai</c:v>
                </c:pt>
                <c:pt idx="6">
                  <c:v>Pune</c:v>
                </c:pt>
              </c:strCache>
            </c:strRef>
          </c:cat>
          <c:val>
            <c:numRef>
              <c:f>DASHBOARDS!$B$7:$B$14</c:f>
              <c:numCache>
                <c:formatCode>General</c:formatCode>
                <c:ptCount val="7"/>
                <c:pt idx="0">
                  <c:v>3960</c:v>
                </c:pt>
                <c:pt idx="1">
                  <c:v>1450</c:v>
                </c:pt>
                <c:pt idx="2">
                  <c:v>3750</c:v>
                </c:pt>
                <c:pt idx="3">
                  <c:v>2935</c:v>
                </c:pt>
                <c:pt idx="4">
                  <c:v>1125</c:v>
                </c:pt>
                <c:pt idx="5">
                  <c:v>3550</c:v>
                </c:pt>
                <c:pt idx="6">
                  <c:v>1184</c:v>
                </c:pt>
              </c:numCache>
            </c:numRef>
          </c:val>
          <c:extLst>
            <c:ext xmlns:c16="http://schemas.microsoft.com/office/drawing/2014/chart" uri="{C3380CC4-5D6E-409C-BE32-E72D297353CC}">
              <c16:uniqueId val="{00000000-AF5E-48D7-9C53-BFB71CAC318F}"/>
            </c:ext>
          </c:extLst>
        </c:ser>
        <c:ser>
          <c:idx val="1"/>
          <c:order val="1"/>
          <c:tx>
            <c:strRef>
              <c:f>DASHBOARDS!$C$6</c:f>
              <c:strCache>
                <c:ptCount val="1"/>
                <c:pt idx="0">
                  <c:v>Sum of Order_Value</c:v>
                </c:pt>
              </c:strCache>
            </c:strRef>
          </c:tx>
          <c:spPr>
            <a:noFill/>
            <a:ln w="9525" cap="flat" cmpd="sng" algn="ctr">
              <a:solidFill>
                <a:schemeClr val="accent4">
                  <a:tint val="77000"/>
                </a:schemeClr>
              </a:solidFill>
              <a:miter lim="800000"/>
            </a:ln>
            <a:effectLst>
              <a:glow rad="63500">
                <a:schemeClr val="accent4">
                  <a:tint val="77000"/>
                  <a:satMod val="175000"/>
                  <a:alpha val="25000"/>
                </a:schemeClr>
              </a:glow>
            </a:effectLst>
          </c:spPr>
          <c:invertIfNegative val="0"/>
          <c:cat>
            <c:strRef>
              <c:f>DASHBOARDS!$A$7:$A$14</c:f>
              <c:strCache>
                <c:ptCount val="7"/>
                <c:pt idx="0">
                  <c:v>Bangalore</c:v>
                </c:pt>
                <c:pt idx="1">
                  <c:v>Chennai</c:v>
                </c:pt>
                <c:pt idx="2">
                  <c:v>Delhi</c:v>
                </c:pt>
                <c:pt idx="3">
                  <c:v>Hyderabad</c:v>
                </c:pt>
                <c:pt idx="4">
                  <c:v>Kolkata</c:v>
                </c:pt>
                <c:pt idx="5">
                  <c:v>Mumbai</c:v>
                </c:pt>
                <c:pt idx="6">
                  <c:v>Pune</c:v>
                </c:pt>
              </c:strCache>
            </c:strRef>
          </c:cat>
          <c:val>
            <c:numRef>
              <c:f>DASHBOARDS!$C$7:$C$14</c:f>
              <c:numCache>
                <c:formatCode>General</c:formatCode>
                <c:ptCount val="7"/>
                <c:pt idx="0">
                  <c:v>4570</c:v>
                </c:pt>
                <c:pt idx="1">
                  <c:v>1600</c:v>
                </c:pt>
                <c:pt idx="2">
                  <c:v>4050</c:v>
                </c:pt>
                <c:pt idx="3">
                  <c:v>3360</c:v>
                </c:pt>
                <c:pt idx="4">
                  <c:v>1110</c:v>
                </c:pt>
                <c:pt idx="5">
                  <c:v>3830</c:v>
                </c:pt>
                <c:pt idx="6">
                  <c:v>1560</c:v>
                </c:pt>
              </c:numCache>
            </c:numRef>
          </c:val>
          <c:extLst>
            <c:ext xmlns:c16="http://schemas.microsoft.com/office/drawing/2014/chart" uri="{C3380CC4-5D6E-409C-BE32-E72D297353CC}">
              <c16:uniqueId val="{00000001-AF5E-48D7-9C53-BFB71CAC318F}"/>
            </c:ext>
          </c:extLst>
        </c:ser>
        <c:dLbls>
          <c:showLegendKey val="0"/>
          <c:showVal val="0"/>
          <c:showCatName val="0"/>
          <c:showSerName val="0"/>
          <c:showPercent val="0"/>
          <c:showBubbleSize val="0"/>
        </c:dLbls>
        <c:gapWidth val="315"/>
        <c:overlap val="-40"/>
        <c:axId val="1585336607"/>
        <c:axId val="314675279"/>
      </c:barChart>
      <c:catAx>
        <c:axId val="158533660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75279"/>
        <c:crosses val="autoZero"/>
        <c:auto val="1"/>
        <c:lblAlgn val="ctr"/>
        <c:lblOffset val="100"/>
        <c:noMultiLvlLbl val="0"/>
      </c:catAx>
      <c:valAx>
        <c:axId val="31467527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85336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[Swiggy_DashBoard.xlsx]DASHBOARDS!PivotTable2</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CUISINE WISE PROFIT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DASHBOARDS!$B$23</c:f>
              <c:strCache>
                <c:ptCount val="1"/>
                <c:pt idx="0">
                  <c:v>Total</c:v>
                </c:pt>
              </c:strCache>
            </c:strRef>
          </c:tx>
          <c:spPr>
            <a:pattFill prst="ltUpDiag">
              <a:fgClr>
                <a:schemeClr val="accent1"/>
              </a:fgClr>
              <a:bgClr>
                <a:schemeClr val="lt1"/>
              </a:bgClr>
            </a:pattFill>
            <a:ln>
              <a:noFill/>
            </a:ln>
            <a:effectLst/>
          </c:spPr>
          <c:invertIfNegative val="0"/>
          <c:cat>
            <c:strRef>
              <c:f>DASHBOARDS!$A$24:$A$32</c:f>
              <c:strCache>
                <c:ptCount val="8"/>
                <c:pt idx="0">
                  <c:v>Biryani</c:v>
                </c:pt>
                <c:pt idx="1">
                  <c:v>Burgers</c:v>
                </c:pt>
                <c:pt idx="2">
                  <c:v>Chinese</c:v>
                </c:pt>
                <c:pt idx="3">
                  <c:v>Desserts</c:v>
                </c:pt>
                <c:pt idx="4">
                  <c:v>Healthy</c:v>
                </c:pt>
                <c:pt idx="5">
                  <c:v>North Indian</c:v>
                </c:pt>
                <c:pt idx="6">
                  <c:v>Pizza</c:v>
                </c:pt>
                <c:pt idx="7">
                  <c:v>South Indian</c:v>
                </c:pt>
              </c:strCache>
            </c:strRef>
          </c:cat>
          <c:val>
            <c:numRef>
              <c:f>DASHBOARDS!$B$24:$B$32</c:f>
              <c:numCache>
                <c:formatCode>General</c:formatCode>
                <c:ptCount val="8"/>
                <c:pt idx="0">
                  <c:v>4000</c:v>
                </c:pt>
                <c:pt idx="1">
                  <c:v>1900</c:v>
                </c:pt>
                <c:pt idx="2">
                  <c:v>1160</c:v>
                </c:pt>
                <c:pt idx="3">
                  <c:v>1320</c:v>
                </c:pt>
                <c:pt idx="4">
                  <c:v>2130</c:v>
                </c:pt>
                <c:pt idx="5">
                  <c:v>4120</c:v>
                </c:pt>
                <c:pt idx="6">
                  <c:v>3410</c:v>
                </c:pt>
                <c:pt idx="7">
                  <c:v>2040</c:v>
                </c:pt>
              </c:numCache>
            </c:numRef>
          </c:val>
          <c:extLst>
            <c:ext xmlns:c16="http://schemas.microsoft.com/office/drawing/2014/chart" uri="{C3380CC4-5D6E-409C-BE32-E72D297353CC}">
              <c16:uniqueId val="{00000000-3D47-40AF-87C8-EF2FF1866327}"/>
            </c:ext>
          </c:extLst>
        </c:ser>
        <c:dLbls>
          <c:showLegendKey val="0"/>
          <c:showVal val="0"/>
          <c:showCatName val="0"/>
          <c:showSerName val="0"/>
          <c:showPercent val="0"/>
          <c:showBubbleSize val="0"/>
        </c:dLbls>
        <c:gapWidth val="269"/>
        <c:overlap val="-20"/>
        <c:axId val="1525070239"/>
        <c:axId val="314648399"/>
      </c:barChart>
      <c:catAx>
        <c:axId val="1525070239"/>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314648399"/>
        <c:crosses val="autoZero"/>
        <c:auto val="1"/>
        <c:lblAlgn val="ctr"/>
        <c:lblOffset val="100"/>
        <c:noMultiLvlLbl val="0"/>
      </c:catAx>
      <c:valAx>
        <c:axId val="314648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2507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[Swiggy_DashBoard.xlsx]DASHBOARDS!PivotTable4</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Area</a:t>
            </a:r>
            <a:r>
              <a:rPr lang="en-IN" baseline="0"/>
              <a:t> wise rating</a:t>
            </a: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DASHBOARDS!$B$36</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DASHBOARDS!$A$37:$A$44</c:f>
              <c:strCache>
                <c:ptCount val="7"/>
                <c:pt idx="0">
                  <c:v>Bangalore</c:v>
                </c:pt>
                <c:pt idx="1">
                  <c:v>Chennai</c:v>
                </c:pt>
                <c:pt idx="2">
                  <c:v>Delhi</c:v>
                </c:pt>
                <c:pt idx="3">
                  <c:v>Hyderabad</c:v>
                </c:pt>
                <c:pt idx="4">
                  <c:v>Kolkata</c:v>
                </c:pt>
                <c:pt idx="5">
                  <c:v>Mumbai</c:v>
                </c:pt>
                <c:pt idx="6">
                  <c:v>Pune</c:v>
                </c:pt>
              </c:strCache>
            </c:strRef>
          </c:cat>
          <c:val>
            <c:numRef>
              <c:f>DASHBOARDS!$B$37:$B$44</c:f>
              <c:numCache>
                <c:formatCode>General</c:formatCode>
                <c:ptCount val="7"/>
                <c:pt idx="0">
                  <c:v>5</c:v>
                </c:pt>
                <c:pt idx="1">
                  <c:v>5</c:v>
                </c:pt>
                <c:pt idx="2">
                  <c:v>4.833333333333333</c:v>
                </c:pt>
                <c:pt idx="3">
                  <c:v>4</c:v>
                </c:pt>
                <c:pt idx="4">
                  <c:v>4</c:v>
                </c:pt>
                <c:pt idx="5">
                  <c:v>4</c:v>
                </c:pt>
                <c:pt idx="6">
                  <c:v>3.25</c:v>
                </c:pt>
              </c:numCache>
            </c:numRef>
          </c:val>
          <c:extLst>
            <c:ext xmlns:c16="http://schemas.microsoft.com/office/drawing/2014/chart" uri="{C3380CC4-5D6E-409C-BE32-E72D297353CC}">
              <c16:uniqueId val="{00000000-3195-480A-A873-E90215BB2D87}"/>
            </c:ext>
          </c:extLst>
        </c:ser>
        <c:dLbls>
          <c:dLblPos val="ctr"/>
          <c:showLegendKey val="0"/>
          <c:showVal val="1"/>
          <c:showCatName val="0"/>
          <c:showSerName val="0"/>
          <c:showPercent val="0"/>
          <c:showBubbleSize val="0"/>
        </c:dLbls>
        <c:gapWidth val="79"/>
        <c:overlap val="100"/>
        <c:axId val="1525134735"/>
        <c:axId val="314617679"/>
      </c:barChart>
      <c:catAx>
        <c:axId val="1525134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14617679"/>
        <c:crosses val="autoZero"/>
        <c:auto val="1"/>
        <c:lblAlgn val="ctr"/>
        <c:lblOffset val="100"/>
        <c:noMultiLvlLbl val="0"/>
      </c:catAx>
      <c:valAx>
        <c:axId val="314617679"/>
        <c:scaling>
          <c:orientation val="minMax"/>
        </c:scaling>
        <c:delete val="1"/>
        <c:axPos val="b"/>
        <c:numFmt formatCode="General" sourceLinked="1"/>
        <c:majorTickMark val="none"/>
        <c:minorTickMark val="none"/>
        <c:tickLblPos val="nextTo"/>
        <c:crossAx val="152513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139698</xdr:colOff>
      <xdr:row>3</xdr:row>
      <xdr:rowOff>177800</xdr:rowOff>
    </xdr:from>
    <xdr:to>
      <xdr:col>13</xdr:col>
      <xdr:colOff>40188</xdr:colOff>
      <xdr:row>20</xdr:row>
      <xdr:rowOff>100475</xdr:rowOff>
    </xdr:to>
    <xdr:graphicFrame macro="">
      <xdr:nvGraphicFramePr>
        <xdr:cNvPr id="2" name="Chart 1">
          <a:extLst>
            <a:ext uri="{FF2B5EF4-FFF2-40B4-BE49-F238E27FC236}">
              <a16:creationId xmlns:a16="http://schemas.microsoft.com/office/drawing/2014/main" id="{FE1D427E-5E0F-20DF-CC03-83D0314DF1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680796</xdr:colOff>
      <xdr:row>21</xdr:row>
      <xdr:rowOff>28454</xdr:rowOff>
    </xdr:from>
    <xdr:to>
      <xdr:col>8</xdr:col>
      <xdr:colOff>393861</xdr:colOff>
      <xdr:row>33</xdr:row>
      <xdr:rowOff>156740</xdr:rowOff>
    </xdr:to>
    <xdr:graphicFrame macro="">
      <xdr:nvGraphicFramePr>
        <xdr:cNvPr id="3" name="Chart 2">
          <a:extLst>
            <a:ext uri="{FF2B5EF4-FFF2-40B4-BE49-F238E27FC236}">
              <a16:creationId xmlns:a16="http://schemas.microsoft.com/office/drawing/2014/main" id="{79A368E6-0FBD-6777-F3A0-D04D849431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1195226</xdr:colOff>
      <xdr:row>34</xdr:row>
      <xdr:rowOff>162346</xdr:rowOff>
    </xdr:from>
    <xdr:to>
      <xdr:col>9</xdr:col>
      <xdr:colOff>184030</xdr:colOff>
      <xdr:row>49</xdr:row>
      <xdr:rowOff>94104</xdr:rowOff>
    </xdr:to>
    <xdr:graphicFrame macro="">
      <xdr:nvGraphicFramePr>
        <xdr:cNvPr id="4" name="Chart 3">
          <a:extLst>
            <a:ext uri="{FF2B5EF4-FFF2-40B4-BE49-F238E27FC236}">
              <a16:creationId xmlns:a16="http://schemas.microsoft.com/office/drawing/2014/main" id="{265BB15B-8ECD-A95B-8624-CD7E132A74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536949</xdr:colOff>
      <xdr:row>2</xdr:row>
      <xdr:rowOff>561</xdr:rowOff>
    </xdr:from>
    <xdr:to>
      <xdr:col>2</xdr:col>
      <xdr:colOff>513603</xdr:colOff>
      <xdr:row>4</xdr:row>
      <xdr:rowOff>107390</xdr:rowOff>
    </xdr:to>
    <xdr:sp macro="" textlink="">
      <xdr:nvSpPr>
        <xdr:cNvPr id="5" name="Rectangle: Rounded Corners 4">
          <a:extLst>
            <a:ext uri="{FF2B5EF4-FFF2-40B4-BE49-F238E27FC236}">
              <a16:creationId xmlns:a16="http://schemas.microsoft.com/office/drawing/2014/main" id="{BC6249C3-0879-890D-D022-D0A9FC1849DC}"/>
            </a:ext>
          </a:extLst>
        </xdr:cNvPr>
        <xdr:cNvSpPr/>
      </xdr:nvSpPr>
      <xdr:spPr>
        <a:xfrm>
          <a:off x="1307353" y="1242546"/>
          <a:ext cx="1321360" cy="7044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i="1">
              <a:solidFill>
                <a:schemeClr val="bg2"/>
              </a:solidFill>
            </a:rPr>
            <a:t>TOTAL ORDER-</a:t>
          </a:r>
          <a:r>
            <a:rPr lang="en-IN" sz="1200" b="1" i="1" baseline="0">
              <a:solidFill>
                <a:schemeClr val="bg2"/>
              </a:solidFill>
            </a:rPr>
            <a:t> 30</a:t>
          </a:r>
          <a:endParaRPr lang="en-IN" sz="1200" b="1" i="1">
            <a:solidFill>
              <a:schemeClr val="bg2"/>
            </a:solidFill>
          </a:endParaRPr>
        </a:p>
      </xdr:txBody>
    </xdr:sp>
    <xdr:clientData/>
  </xdr:twoCellAnchor>
  <xdr:twoCellAnchor>
    <xdr:from>
      <xdr:col>2</xdr:col>
      <xdr:colOff>812426</xdr:colOff>
      <xdr:row>1</xdr:row>
      <xdr:rowOff>185738</xdr:rowOff>
    </xdr:from>
    <xdr:to>
      <xdr:col>3</xdr:col>
      <xdr:colOff>1171948</xdr:colOff>
      <xdr:row>4</xdr:row>
      <xdr:rowOff>56030</xdr:rowOff>
    </xdr:to>
    <xdr:sp macro="" textlink="">
      <xdr:nvSpPr>
        <xdr:cNvPr id="6" name="Rectangle: Rounded Corners 5">
          <a:extLst>
            <a:ext uri="{FF2B5EF4-FFF2-40B4-BE49-F238E27FC236}">
              <a16:creationId xmlns:a16="http://schemas.microsoft.com/office/drawing/2014/main" id="{C2F3FD4F-7F31-BBEE-3A95-2974BB5F260B}"/>
            </a:ext>
          </a:extLst>
        </xdr:cNvPr>
        <xdr:cNvSpPr/>
      </xdr:nvSpPr>
      <xdr:spPr>
        <a:xfrm>
          <a:off x="2927536" y="1240959"/>
          <a:ext cx="1652868" cy="65470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i="0"/>
            <a:t>TOTAL REVENUE- 18,680</a:t>
          </a:r>
        </a:p>
      </xdr:txBody>
    </xdr:sp>
    <xdr:clientData/>
  </xdr:twoCellAnchor>
  <xdr:twoCellAnchor>
    <xdr:from>
      <xdr:col>9</xdr:col>
      <xdr:colOff>322169</xdr:colOff>
      <xdr:row>1</xdr:row>
      <xdr:rowOff>135405</xdr:rowOff>
    </xdr:from>
    <xdr:to>
      <xdr:col>11</xdr:col>
      <xdr:colOff>1111250</xdr:colOff>
      <xdr:row>2</xdr:row>
      <xdr:rowOff>381001</xdr:rowOff>
    </xdr:to>
    <xdr:sp macro="" textlink="">
      <xdr:nvSpPr>
        <xdr:cNvPr id="8" name="Rectangle: Rounded Corners 7">
          <a:extLst>
            <a:ext uri="{FF2B5EF4-FFF2-40B4-BE49-F238E27FC236}">
              <a16:creationId xmlns:a16="http://schemas.microsoft.com/office/drawing/2014/main" id="{F125E74C-9486-7E7D-1AF8-5547711BEB13}"/>
            </a:ext>
          </a:extLst>
        </xdr:cNvPr>
        <xdr:cNvSpPr/>
      </xdr:nvSpPr>
      <xdr:spPr>
        <a:xfrm>
          <a:off x="7139081" y="1190626"/>
          <a:ext cx="1975037" cy="4323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OVERALL RATING-4.3</a:t>
          </a:r>
        </a:p>
      </xdr:txBody>
    </xdr:sp>
    <xdr:clientData/>
  </xdr:twoCellAnchor>
  <xdr:twoCellAnchor>
    <xdr:from>
      <xdr:col>4</xdr:col>
      <xdr:colOff>65369</xdr:colOff>
      <xdr:row>1</xdr:row>
      <xdr:rowOff>129709</xdr:rowOff>
    </xdr:from>
    <xdr:to>
      <xdr:col>9</xdr:col>
      <xdr:colOff>74707</xdr:colOff>
      <xdr:row>3</xdr:row>
      <xdr:rowOff>27314</xdr:rowOff>
    </xdr:to>
    <xdr:sp macro="" textlink="">
      <xdr:nvSpPr>
        <xdr:cNvPr id="10" name="Rectangle: Rounded Corners 9">
          <a:extLst>
            <a:ext uri="{FF2B5EF4-FFF2-40B4-BE49-F238E27FC236}">
              <a16:creationId xmlns:a16="http://schemas.microsoft.com/office/drawing/2014/main" id="{3601BAEE-AB26-C562-E64C-349FC5723E9A}"/>
            </a:ext>
          </a:extLst>
        </xdr:cNvPr>
        <xdr:cNvSpPr/>
      </xdr:nvSpPr>
      <xdr:spPr>
        <a:xfrm>
          <a:off x="4720479" y="1184930"/>
          <a:ext cx="2171140" cy="49525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AVERAGE ORDER VALUE-</a:t>
          </a:r>
          <a:r>
            <a:rPr lang="en-IN" sz="1200" baseline="0"/>
            <a:t> 622</a:t>
          </a:r>
          <a:endParaRPr lang="en-IN" sz="1200"/>
        </a:p>
      </xdr:txBody>
    </xdr:sp>
    <xdr:clientData/>
  </xdr:twoCellAnchor>
  <xdr:twoCellAnchor editAs="oneCell">
    <xdr:from>
      <xdr:col>13</xdr:col>
      <xdr:colOff>291063</xdr:colOff>
      <xdr:row>4</xdr:row>
      <xdr:rowOff>102639</xdr:rowOff>
    </xdr:from>
    <xdr:to>
      <xdr:col>14</xdr:col>
      <xdr:colOff>846231</xdr:colOff>
      <xdr:row>16</xdr:row>
      <xdr:rowOff>126067</xdr:rowOff>
    </xdr:to>
    <mc:AlternateContent xmlns:mc="http://schemas.openxmlformats.org/markup-compatibility/2006">
      <mc:Choice xmlns:a14="http://schemas.microsoft.com/office/drawing/2010/main" Requires="a14">
        <xdr:graphicFrame macro="">
          <xdr:nvGraphicFramePr>
            <xdr:cNvPr id="11" name="City">
              <a:extLst>
                <a:ext uri="{FF2B5EF4-FFF2-40B4-BE49-F238E27FC236}">
                  <a16:creationId xmlns:a16="http://schemas.microsoft.com/office/drawing/2014/main" id="{87CF6CAF-7DFB-3B80-C038-BF65C92984D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872472" y="1938366"/>
              <a:ext cx="1836714" cy="22401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170703</xdr:colOff>
      <xdr:row>4</xdr:row>
      <xdr:rowOff>86555</xdr:rowOff>
    </xdr:from>
    <xdr:to>
      <xdr:col>16</xdr:col>
      <xdr:colOff>720684</xdr:colOff>
      <xdr:row>18</xdr:row>
      <xdr:rowOff>17763</xdr:rowOff>
    </xdr:to>
    <mc:AlternateContent xmlns:mc="http://schemas.openxmlformats.org/markup-compatibility/2006">
      <mc:Choice xmlns:a14="http://schemas.microsoft.com/office/drawing/2010/main" Requires="a14">
        <xdr:graphicFrame macro="">
          <xdr:nvGraphicFramePr>
            <xdr:cNvPr id="12" name="Cuisine">
              <a:extLst>
                <a:ext uri="{FF2B5EF4-FFF2-40B4-BE49-F238E27FC236}">
                  <a16:creationId xmlns:a16="http://schemas.microsoft.com/office/drawing/2014/main" id="{63FFB9BF-236B-27E4-127E-51798D9AAF5D}"/>
                </a:ext>
              </a:extLst>
            </xdr:cNvPr>
            <xdr:cNvGraphicFramePr/>
          </xdr:nvGraphicFramePr>
          <xdr:xfrm>
            <a:off x="0" y="0"/>
            <a:ext cx="0" cy="0"/>
          </xdr:xfrm>
          <a:graphic>
            <a:graphicData uri="http://schemas.microsoft.com/office/drawing/2010/slicer">
              <sle:slicer xmlns:sle="http://schemas.microsoft.com/office/drawing/2010/slicer" name="Cuisine"/>
            </a:graphicData>
          </a:graphic>
        </xdr:graphicFrame>
      </mc:Choice>
      <mc:Fallback>
        <xdr:sp macro="" textlink="">
          <xdr:nvSpPr>
            <xdr:cNvPr id="0" name=""/>
            <xdr:cNvSpPr>
              <a:spLocks noTextEdit="1"/>
            </xdr:cNvSpPr>
          </xdr:nvSpPr>
          <xdr:spPr>
            <a:xfrm>
              <a:off x="13315203" y="1922282"/>
              <a:ext cx="1831526" cy="25173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284817</xdr:colOff>
      <xdr:row>0</xdr:row>
      <xdr:rowOff>0</xdr:rowOff>
    </xdr:from>
    <xdr:to>
      <xdr:col>15</xdr:col>
      <xdr:colOff>37354</xdr:colOff>
      <xdr:row>1</xdr:row>
      <xdr:rowOff>9337</xdr:rowOff>
    </xdr:to>
    <xdr:sp macro="" textlink="">
      <xdr:nvSpPr>
        <xdr:cNvPr id="14" name="Rectangle: Diagonal Corners Rounded 13">
          <a:extLst>
            <a:ext uri="{FF2B5EF4-FFF2-40B4-BE49-F238E27FC236}">
              <a16:creationId xmlns:a16="http://schemas.microsoft.com/office/drawing/2014/main" id="{42853ADF-0163-7373-F145-4D8FACF3F4F4}"/>
            </a:ext>
          </a:extLst>
        </xdr:cNvPr>
        <xdr:cNvSpPr/>
      </xdr:nvSpPr>
      <xdr:spPr>
        <a:xfrm>
          <a:off x="2399927" y="0"/>
          <a:ext cx="10776324" cy="1064558"/>
        </a:xfrm>
        <a:prstGeom prst="round2DiagRect">
          <a:avLst/>
        </a:prstGeom>
        <a:solidFill>
          <a:schemeClr val="accent2">
            <a:lumMod val="75000"/>
          </a:schemeClr>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u="sng"/>
            <a:t>SWIGGY SALES DASHBOARD- 2024</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Yadav" refreshedDate="46278.537763194443" createdVersion="8" refreshedVersion="8" minRefreshableVersion="3" recordCount="30" xr:uid="{474AB5AD-290C-44E0-8817-C1D7C7C635B9}">
  <cacheSource type="worksheet">
    <worksheetSource name="Table1_1"/>
  </cacheSource>
  <cacheFields count="14">
    <cacheField name="Order_ID" numFmtId="0">
      <sharedItems/>
    </cacheField>
    <cacheField name="Order_Date" numFmtId="14">
      <sharedItems containsSemiMixedTypes="0" containsNonDate="0" containsDate="1" containsString="0" minDate="2024-01-10T00:00:00" maxDate="2024-12-26T00:00:00"/>
    </cacheField>
    <cacheField name="City" numFmtId="0">
      <sharedItems count="7">
        <s v="Bangalore"/>
        <s v="Mumbai"/>
        <s v="Delhi"/>
        <s v="Hyderabad"/>
        <s v="Pune"/>
        <s v="Kolkata"/>
        <s v="Chennai"/>
      </sharedItems>
    </cacheField>
    <cacheField name="Restaurant_Name" numFmtId="0">
      <sharedItems/>
    </cacheField>
    <cacheField name="Cuisine" numFmtId="0">
      <sharedItems count="8">
        <s v="Biryani"/>
        <s v="Burgers"/>
        <s v="North Indian"/>
        <s v="Chinese"/>
        <s v="Pizza"/>
        <s v="South Indian"/>
        <s v="Desserts"/>
        <s v="Healthy"/>
      </sharedItems>
    </cacheField>
    <cacheField name="Order_Value" numFmtId="0">
      <sharedItems containsSemiMixedTypes="0" containsString="0" containsNumber="1" containsInteger="1" minValue="290" maxValue="1150"/>
    </cacheField>
    <cacheField name="Delivery_Fee" numFmtId="0">
      <sharedItems containsSemiMixedTypes="0" containsString="0" containsNumber="1" containsInteger="1" minValue="0" maxValue="50"/>
    </cacheField>
    <cacheField name="Discount" numFmtId="0">
      <sharedItems containsSemiMixedTypes="0" containsString="0" containsNumber="1" containsInteger="1" minValue="0" maxValue="400"/>
    </cacheField>
    <cacheField name="Net_Revenue" numFmtId="0">
      <sharedItems containsSemiMixedTypes="0" containsString="0" containsNumber="1" containsInteger="1" minValue="29" maxValue="970"/>
    </cacheField>
    <cacheField name="Delivery_Time_min" numFmtId="0">
      <sharedItems containsSemiMixedTypes="0" containsString="0" containsNumber="1" containsInteger="1" minValue="25" maxValue="62"/>
    </cacheField>
    <cacheField name="Payment_Method" numFmtId="0">
      <sharedItems/>
    </cacheField>
    <cacheField name="Customer_Rating" numFmtId="0">
      <sharedItems containsSemiMixedTypes="0" containsString="0" containsNumber="1" containsInteger="1" minValue="2" maxValue="5"/>
    </cacheField>
    <cacheField name="Order_Status" numFmtId="0">
      <sharedItems/>
    </cacheField>
    <cacheField name="Avg. Rating" numFmtId="0">
      <sharedItems containsString="0" containsBlank="1" containsNumber="1" minValue="4.3" maxValue="4.3"/>
    </cacheField>
  </cacheFields>
  <extLst>
    <ext xmlns:x14="http://schemas.microsoft.com/office/spreadsheetml/2009/9/main" uri="{725AE2AE-9491-48be-B2B4-4EB974FC3084}">
      <x14:pivotCacheDefinition pivotCacheId="2360320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SWG10000"/>
    <d v="2024-02-15T00:00:00"/>
    <x v="0"/>
    <s v="Meghana Foods"/>
    <x v="0"/>
    <n v="850"/>
    <n v="0"/>
    <n v="100"/>
    <n v="750"/>
    <n v="32"/>
    <s v="UPI"/>
    <n v="5"/>
    <s v="Delivered"/>
    <n v="4.3"/>
  </r>
  <r>
    <s v="SWG10001"/>
    <d v="2024-05-22T00:00:00"/>
    <x v="1"/>
    <s v="Truffles"/>
    <x v="1"/>
    <n v="450"/>
    <n v="35"/>
    <n v="50"/>
    <n v="435"/>
    <n v="28"/>
    <s v="Credit Card"/>
    <n v="4"/>
    <s v="Delivered"/>
    <m/>
  </r>
  <r>
    <s v="SWG10002"/>
    <d v="2024-01-10T00:00:00"/>
    <x v="2"/>
    <s v="Karims"/>
    <x v="2"/>
    <n v="1100"/>
    <n v="20"/>
    <n v="150"/>
    <n v="970"/>
    <n v="41"/>
    <s v="UPI"/>
    <n v="5"/>
    <s v="Delivered"/>
    <m/>
  </r>
  <r>
    <s v="SWG10003"/>
    <d v="2024-07-18T00:00:00"/>
    <x v="3"/>
    <s v="Paradise"/>
    <x v="0"/>
    <n v="680"/>
    <n v="0"/>
    <n v="80"/>
    <n v="600"/>
    <n v="25"/>
    <s v="UPI"/>
    <n v="4"/>
    <s v="Delivered"/>
    <m/>
  </r>
  <r>
    <s v="SWG10004"/>
    <d v="2024-03-25T00:00:00"/>
    <x v="4"/>
    <s v="Wow Momo"/>
    <x v="3"/>
    <n v="320"/>
    <n v="35"/>
    <n v="0"/>
    <n v="355"/>
    <n v="38"/>
    <s v="Wallet"/>
    <n v="3"/>
    <s v="Delivered"/>
    <m/>
  </r>
  <r>
    <s v="SWG10005"/>
    <d v="2024-11-30T00:00:00"/>
    <x v="0"/>
    <s v="Dominoz"/>
    <x v="4"/>
    <n v="750"/>
    <n v="0"/>
    <n v="120"/>
    <n v="630"/>
    <n v="42"/>
    <s v="UPI"/>
    <n v="5"/>
    <s v="Delivered"/>
    <m/>
  </r>
  <r>
    <s v="SWG10006"/>
    <d v="2024-04-12T00:00:00"/>
    <x v="1"/>
    <s v="Burger King"/>
    <x v="1"/>
    <n v="290"/>
    <n v="20"/>
    <n v="30"/>
    <n v="280"/>
    <n v="35"/>
    <s v="COD"/>
    <n v="4"/>
    <s v="Delivered"/>
    <m/>
  </r>
  <r>
    <s v="SWG10007"/>
    <d v="2024-08-14T00:00:00"/>
    <x v="2"/>
    <s v="Meghana Foods"/>
    <x v="5"/>
    <n v="550"/>
    <n v="35"/>
    <n v="75"/>
    <n v="510"/>
    <n v="48"/>
    <s v="Credit Card"/>
    <n v="5"/>
    <s v="Delivered"/>
    <m/>
  </r>
  <r>
    <s v="SWG10008"/>
    <d v="2024-09-05T00:00:00"/>
    <x v="5"/>
    <s v="Karims"/>
    <x v="6"/>
    <n v="420"/>
    <n v="50"/>
    <n v="0"/>
    <n v="470"/>
    <n v="55"/>
    <s v="Net Banking"/>
    <n v="4"/>
    <s v="Delivered"/>
    <m/>
  </r>
  <r>
    <s v="SWG10009"/>
    <d v="2024-06-20T00:00:00"/>
    <x v="6"/>
    <s v="Wow Momo"/>
    <x v="7"/>
    <n v="890"/>
    <n v="0"/>
    <n v="100"/>
    <n v="790"/>
    <n v="30"/>
    <s v="UPI"/>
    <n v="5"/>
    <s v="Delivered"/>
    <m/>
  </r>
  <r>
    <s v="SWG10010"/>
    <d v="2024-12-10T00:00:00"/>
    <x v="0"/>
    <s v="Truffles"/>
    <x v="4"/>
    <n v="1150"/>
    <n v="0"/>
    <n v="200"/>
    <n v="950"/>
    <n v="39"/>
    <s v="UPI"/>
    <n v="5"/>
    <s v="Cancelled"/>
    <m/>
  </r>
  <r>
    <s v="SWG10011"/>
    <d v="2024-02-28T00:00:00"/>
    <x v="1"/>
    <s v="Paradise"/>
    <x v="0"/>
    <n v="670"/>
    <n v="20"/>
    <n v="50"/>
    <n v="640"/>
    <n v="44"/>
    <s v="Credit Card"/>
    <n v="4"/>
    <s v="Delivered"/>
    <m/>
  </r>
  <r>
    <s v="SWG10012"/>
    <d v="2024-10-15T00:00:00"/>
    <x v="3"/>
    <s v="Meghana Foods"/>
    <x v="2"/>
    <n v="980"/>
    <n v="35"/>
    <n v="120"/>
    <n v="895"/>
    <n v="51"/>
    <s v="Wallet"/>
    <n v="5"/>
    <s v="Delivered"/>
    <m/>
  </r>
  <r>
    <s v="SWG10013"/>
    <d v="2024-01-22T00:00:00"/>
    <x v="4"/>
    <s v="Dominoz"/>
    <x v="3"/>
    <n v="360"/>
    <n v="0"/>
    <n v="20"/>
    <n v="340"/>
    <n v="29"/>
    <s v="UPI"/>
    <n v="3"/>
    <s v="Delivered"/>
    <m/>
  </r>
  <r>
    <s v="SWG10014"/>
    <d v="2024-05-02T00:00:00"/>
    <x v="2"/>
    <s v="Burger King"/>
    <x v="1"/>
    <n v="410"/>
    <n v="20"/>
    <n v="0"/>
    <n v="430"/>
    <n v="33"/>
    <s v="COD"/>
    <n v="4"/>
    <s v="Delivered"/>
    <m/>
  </r>
  <r>
    <s v="SWG10015"/>
    <d v="2024-07-09T00:00:00"/>
    <x v="0"/>
    <s v="Karims"/>
    <x v="6"/>
    <n v="520"/>
    <n v="0"/>
    <n v="80"/>
    <n v="440"/>
    <n v="46"/>
    <s v="UPI"/>
    <n v="5"/>
    <s v="Delivered"/>
    <m/>
  </r>
  <r>
    <s v="SWG10016"/>
    <d v="2024-03-18T00:00:00"/>
    <x v="1"/>
    <s v="Wow Momo"/>
    <x v="5"/>
    <n v="780"/>
    <n v="35"/>
    <n v="90"/>
    <n v="725"/>
    <n v="37"/>
    <s v="Credit Card"/>
    <n v="4"/>
    <s v="Delivered"/>
    <m/>
  </r>
  <r>
    <s v="SWG10017"/>
    <d v="2024-11-11T00:00:00"/>
    <x v="2"/>
    <s v="Truffles"/>
    <x v="7"/>
    <n v="650"/>
    <n v="20"/>
    <n v="60"/>
    <n v="610"/>
    <n v="40"/>
    <s v="Wallet"/>
    <n v="5"/>
    <s v="Delivered"/>
    <m/>
  </r>
  <r>
    <s v="SWG10018"/>
    <d v="2024-04-30T00:00:00"/>
    <x v="3"/>
    <s v="Dominoz"/>
    <x v="4"/>
    <n v="820"/>
    <n v="0"/>
    <n v="150"/>
    <n v="670"/>
    <n v="45"/>
    <s v="UPI"/>
    <n v="2"/>
    <s v="Delivered"/>
    <m/>
  </r>
  <r>
    <s v="SWG10019"/>
    <d v="2024-08-22T00:00:00"/>
    <x v="0"/>
    <s v="Paradise"/>
    <x v="0"/>
    <n v="920"/>
    <n v="0"/>
    <n v="100"/>
    <n v="820"/>
    <n v="31"/>
    <s v="UPI"/>
    <n v="5"/>
    <s v="Delivered"/>
    <m/>
  </r>
  <r>
    <s v="SWG10020"/>
    <d v="2024-09-28T00:00:00"/>
    <x v="1"/>
    <s v="Meghana Foods"/>
    <x v="2"/>
    <n v="1050"/>
    <n v="35"/>
    <n v="180"/>
    <n v="905"/>
    <n v="58"/>
    <s v="Credit Card"/>
    <n v="4"/>
    <s v="Delivered"/>
    <m/>
  </r>
  <r>
    <s v="SWG10021"/>
    <d v="2024-06-15T00:00:00"/>
    <x v="4"/>
    <s v="Karims"/>
    <x v="3"/>
    <n v="480"/>
    <n v="20"/>
    <n v="40"/>
    <n v="460"/>
    <n v="27"/>
    <s v="Wallet"/>
    <n v="3"/>
    <s v="Delivered"/>
    <m/>
  </r>
  <r>
    <s v="SWG10022"/>
    <d v="2024-12-25T00:00:00"/>
    <x v="2"/>
    <s v="Burger King"/>
    <x v="1"/>
    <n v="350"/>
    <n v="0"/>
    <n v="0"/>
    <n v="350"/>
    <n v="26"/>
    <s v="UPI"/>
    <n v="5"/>
    <s v="Delivered"/>
    <m/>
  </r>
  <r>
    <s v="SWG10023"/>
    <d v="2024-02-10T00:00:00"/>
    <x v="5"/>
    <s v="Dominoz"/>
    <x v="4"/>
    <n v="690"/>
    <n v="35"/>
    <n v="70"/>
    <n v="655"/>
    <n v="62"/>
    <s v="COD"/>
    <n v="4"/>
    <s v="Delivered"/>
    <m/>
  </r>
  <r>
    <s v="SWG10024"/>
    <d v="2024-10-20T00:00:00"/>
    <x v="0"/>
    <s v="Wow Momo"/>
    <x v="6"/>
    <n v="380"/>
    <n v="20"/>
    <n v="30"/>
    <n v="370"/>
    <n v="36"/>
    <s v="UPI"/>
    <n v="5"/>
    <s v="Delivered"/>
    <m/>
  </r>
  <r>
    <s v="SWG10025"/>
    <d v="2024-05-16T00:00:00"/>
    <x v="6"/>
    <s v="Truffles"/>
    <x v="5"/>
    <n v="710"/>
    <n v="0"/>
    <n v="50"/>
    <n v="660"/>
    <n v="43"/>
    <s v="Credit Card"/>
    <n v="5"/>
    <s v="Delivered"/>
    <m/>
  </r>
  <r>
    <s v="SWG10026"/>
    <d v="2024-03-02T00:00:00"/>
    <x v="1"/>
    <s v="Paradise"/>
    <x v="7"/>
    <n v="590"/>
    <n v="35"/>
    <n v="60"/>
    <n v="565"/>
    <n v="49"/>
    <s v="Net Banking"/>
    <n v="4"/>
    <s v="Delivered"/>
    <m/>
  </r>
  <r>
    <s v="SWG10027"/>
    <d v="2024-07-27T00:00:00"/>
    <x v="3"/>
    <s v="Meghana Foods"/>
    <x v="0"/>
    <n v="880"/>
    <n v="0"/>
    <n v="110"/>
    <n v="770"/>
    <n v="34"/>
    <s v="UPI"/>
    <n v="5"/>
    <s v="Delivered"/>
    <m/>
  </r>
  <r>
    <s v="SWG10028"/>
    <d v="2024-01-15T00:00:00"/>
    <x v="2"/>
    <s v="Karims"/>
    <x v="2"/>
    <n v="990"/>
    <n v="20"/>
    <n v="130"/>
    <n v="880"/>
    <n v="50"/>
    <s v="UPI"/>
    <n v="5"/>
    <s v="Delivered"/>
    <m/>
  </r>
  <r>
    <s v="SWG10029"/>
    <d v="2024-11-02T00:00:00"/>
    <x v="4"/>
    <s v="Burger King"/>
    <x v="1"/>
    <n v="400"/>
    <n v="20"/>
    <n v="400"/>
    <n v="29"/>
    <n v="47"/>
    <s v="UPI"/>
    <n v="4"/>
    <s v="Delivered"/>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574637-8896-4766-A7F0-C7A8896D45D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ITY">
  <location ref="A6:C14" firstHeaderRow="0" firstDataRow="1" firstDataCol="1"/>
  <pivotFields count="14">
    <pivotField showAll="0"/>
    <pivotField numFmtId="14" showAll="0"/>
    <pivotField axis="axisRow" showAll="0">
      <items count="8">
        <item x="0"/>
        <item x="6"/>
        <item x="2"/>
        <item x="3"/>
        <item x="5"/>
        <item x="1"/>
        <item x="4"/>
        <item t="default"/>
      </items>
    </pivotField>
    <pivotField showAll="0"/>
    <pivotField showAll="0">
      <items count="9">
        <item x="0"/>
        <item x="1"/>
        <item x="3"/>
        <item x="6"/>
        <item x="7"/>
        <item x="2"/>
        <item x="4"/>
        <item x="5"/>
        <item t="default"/>
      </items>
    </pivotField>
    <pivotField dataField="1" showAll="0"/>
    <pivotField showAll="0"/>
    <pivotField showAll="0"/>
    <pivotField dataField="1" showAll="0"/>
    <pivotField showAll="0"/>
    <pivotField showAll="0"/>
    <pivotField showAll="0"/>
    <pivotField showAll="0"/>
    <pivotField showAll="0"/>
  </pivotFields>
  <rowFields count="1">
    <field x="2"/>
  </rowFields>
  <rowItems count="8">
    <i>
      <x/>
    </i>
    <i>
      <x v="1"/>
    </i>
    <i>
      <x v="2"/>
    </i>
    <i>
      <x v="3"/>
    </i>
    <i>
      <x v="4"/>
    </i>
    <i>
      <x v="5"/>
    </i>
    <i>
      <x v="6"/>
    </i>
    <i t="grand">
      <x/>
    </i>
  </rowItems>
  <colFields count="1">
    <field x="-2"/>
  </colFields>
  <colItems count="2">
    <i>
      <x/>
    </i>
    <i i="1">
      <x v="1"/>
    </i>
  </colItems>
  <dataFields count="2">
    <dataField name="Sum of Net_Revenue" fld="8" baseField="0" baseItem="0"/>
    <dataField name="Sum of Order_Value" fld="5" baseField="0" baseItem="0"/>
  </dataFields>
  <formats count="18">
    <format dxfId="160">
      <pivotArea type="all" dataOnly="0" outline="0" fieldPosition="0"/>
    </format>
    <format dxfId="159">
      <pivotArea outline="0" collapsedLevelsAreSubtotals="1" fieldPosition="0"/>
    </format>
    <format dxfId="158">
      <pivotArea field="2" type="button" dataOnly="0" labelOnly="1" outline="0" axis="axisRow" fieldPosition="0"/>
    </format>
    <format dxfId="157">
      <pivotArea dataOnly="0" labelOnly="1" fieldPosition="0">
        <references count="1">
          <reference field="2" count="0"/>
        </references>
      </pivotArea>
    </format>
    <format dxfId="156">
      <pivotArea dataOnly="0" labelOnly="1" grandRow="1" outline="0" fieldPosition="0"/>
    </format>
    <format dxfId="155">
      <pivotArea dataOnly="0" labelOnly="1" outline="0" fieldPosition="0">
        <references count="1">
          <reference field="4294967294" count="2">
            <x v="0"/>
            <x v="1"/>
          </reference>
        </references>
      </pivotArea>
    </format>
    <format dxfId="154">
      <pivotArea type="all" dataOnly="0" outline="0" fieldPosition="0"/>
    </format>
    <format dxfId="153">
      <pivotArea outline="0" collapsedLevelsAreSubtotals="1" fieldPosition="0"/>
    </format>
    <format dxfId="152">
      <pivotArea field="2" type="button" dataOnly="0" labelOnly="1" outline="0" axis="axisRow" fieldPosition="0"/>
    </format>
    <format dxfId="151">
      <pivotArea dataOnly="0" labelOnly="1" fieldPosition="0">
        <references count="1">
          <reference field="2" count="0"/>
        </references>
      </pivotArea>
    </format>
    <format dxfId="150">
      <pivotArea dataOnly="0" labelOnly="1" grandRow="1" outline="0" fieldPosition="0"/>
    </format>
    <format dxfId="149">
      <pivotArea dataOnly="0" labelOnly="1" outline="0" fieldPosition="0">
        <references count="1">
          <reference field="4294967294" count="2">
            <x v="0"/>
            <x v="1"/>
          </reference>
        </references>
      </pivotArea>
    </format>
    <format dxfId="148">
      <pivotArea type="all" dataOnly="0" outline="0" fieldPosition="0"/>
    </format>
    <format dxfId="147">
      <pivotArea outline="0" collapsedLevelsAreSubtotals="1" fieldPosition="0"/>
    </format>
    <format dxfId="146">
      <pivotArea field="2" type="button" dataOnly="0" labelOnly="1" outline="0" axis="axisRow" fieldPosition="0"/>
    </format>
    <format dxfId="145">
      <pivotArea dataOnly="0" labelOnly="1" fieldPosition="0">
        <references count="1">
          <reference field="2" count="0"/>
        </references>
      </pivotArea>
    </format>
    <format dxfId="144">
      <pivotArea dataOnly="0" labelOnly="1" grandRow="1" outline="0" fieldPosition="0"/>
    </format>
    <format dxfId="143">
      <pivotArea dataOnly="0" labelOnly="1" outline="0" fieldPosition="0">
        <references count="1">
          <reference field="4294967294" count="2">
            <x v="0"/>
            <x v="1"/>
          </reference>
        </references>
      </pivotArea>
    </format>
  </formats>
  <chartFormats count="2">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644B69-242C-4F2F-8847-7A5B8818CAA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ITY">
  <location ref="A36:B44" firstHeaderRow="1" firstDataRow="1" firstDataCol="1"/>
  <pivotFields count="14">
    <pivotField showAll="0"/>
    <pivotField numFmtId="14" showAll="0"/>
    <pivotField axis="axisRow" showAll="0">
      <items count="8">
        <item x="0"/>
        <item x="6"/>
        <item x="2"/>
        <item x="3"/>
        <item x="5"/>
        <item x="1"/>
        <item x="4"/>
        <item t="default"/>
      </items>
    </pivotField>
    <pivotField showAll="0"/>
    <pivotField showAll="0"/>
    <pivotField showAll="0"/>
    <pivotField showAll="0"/>
    <pivotField showAll="0"/>
    <pivotField showAll="0"/>
    <pivotField showAll="0"/>
    <pivotField showAll="0"/>
    <pivotField dataField="1" showAll="0"/>
    <pivotField showAll="0"/>
    <pivotField showAll="0"/>
  </pivotFields>
  <rowFields count="1">
    <field x="2"/>
  </rowFields>
  <rowItems count="8">
    <i>
      <x/>
    </i>
    <i>
      <x v="1"/>
    </i>
    <i>
      <x v="2"/>
    </i>
    <i>
      <x v="3"/>
    </i>
    <i>
      <x v="4"/>
    </i>
    <i>
      <x v="5"/>
    </i>
    <i>
      <x v="6"/>
    </i>
    <i t="grand">
      <x/>
    </i>
  </rowItems>
  <colItems count="1">
    <i/>
  </colItems>
  <dataFields count="1">
    <dataField name="Average of Customer_Rating" fld="11" subtotal="average" baseField="2" baseItem="0"/>
  </dataFields>
  <formats count="36">
    <format dxfId="196">
      <pivotArea type="all" dataOnly="0" outline="0" fieldPosition="0"/>
    </format>
    <format dxfId="195">
      <pivotArea outline="0" collapsedLevelsAreSubtotals="1" fieldPosition="0"/>
    </format>
    <format dxfId="194">
      <pivotArea field="2" type="button" dataOnly="0" labelOnly="1" outline="0" axis="axisRow" fieldPosition="0"/>
    </format>
    <format dxfId="193">
      <pivotArea dataOnly="0" labelOnly="1" fieldPosition="0">
        <references count="1">
          <reference field="2" count="0"/>
        </references>
      </pivotArea>
    </format>
    <format dxfId="192">
      <pivotArea dataOnly="0" labelOnly="1" grandRow="1" outline="0" fieldPosition="0"/>
    </format>
    <format dxfId="191">
      <pivotArea dataOnly="0" labelOnly="1" outline="0" axis="axisValues" fieldPosition="0"/>
    </format>
    <format dxfId="190">
      <pivotArea type="all" dataOnly="0" outline="0" fieldPosition="0"/>
    </format>
    <format dxfId="189">
      <pivotArea outline="0" collapsedLevelsAreSubtotals="1" fieldPosition="0"/>
    </format>
    <format dxfId="188">
      <pivotArea field="2" type="button" dataOnly="0" labelOnly="1" outline="0" axis="axisRow" fieldPosition="0"/>
    </format>
    <format dxfId="187">
      <pivotArea dataOnly="0" labelOnly="1" fieldPosition="0">
        <references count="1">
          <reference field="2" count="0"/>
        </references>
      </pivotArea>
    </format>
    <format dxfId="186">
      <pivotArea dataOnly="0" labelOnly="1" grandRow="1" outline="0" fieldPosition="0"/>
    </format>
    <format dxfId="185">
      <pivotArea dataOnly="0" labelOnly="1" outline="0" axis="axisValues" fieldPosition="0"/>
    </format>
    <format dxfId="184">
      <pivotArea type="all" dataOnly="0" outline="0" fieldPosition="0"/>
    </format>
    <format dxfId="183">
      <pivotArea outline="0" collapsedLevelsAreSubtotals="1" fieldPosition="0"/>
    </format>
    <format dxfId="182">
      <pivotArea field="2" type="button" dataOnly="0" labelOnly="1" outline="0" axis="axisRow" fieldPosition="0"/>
    </format>
    <format dxfId="181">
      <pivotArea dataOnly="0" labelOnly="1" fieldPosition="0">
        <references count="1">
          <reference field="2" count="0"/>
        </references>
      </pivotArea>
    </format>
    <format dxfId="180">
      <pivotArea dataOnly="0" labelOnly="1" grandRow="1" outline="0" fieldPosition="0"/>
    </format>
    <format dxfId="179">
      <pivotArea dataOnly="0" labelOnly="1" outline="0" axis="axisValues" fieldPosition="0"/>
    </format>
    <format dxfId="178">
      <pivotArea type="all" dataOnly="0" outline="0" fieldPosition="0"/>
    </format>
    <format dxfId="177">
      <pivotArea outline="0" collapsedLevelsAreSubtotals="1" fieldPosition="0"/>
    </format>
    <format dxfId="176">
      <pivotArea field="2" type="button" dataOnly="0" labelOnly="1" outline="0" axis="axisRow" fieldPosition="0"/>
    </format>
    <format dxfId="175">
      <pivotArea dataOnly="0" labelOnly="1" fieldPosition="0">
        <references count="1">
          <reference field="2" count="0"/>
        </references>
      </pivotArea>
    </format>
    <format dxfId="174">
      <pivotArea dataOnly="0" labelOnly="1" grandRow="1" outline="0" fieldPosition="0"/>
    </format>
    <format dxfId="173">
      <pivotArea dataOnly="0" labelOnly="1" outline="0" axis="axisValues" fieldPosition="0"/>
    </format>
    <format dxfId="172">
      <pivotArea type="all" dataOnly="0" outline="0" fieldPosition="0"/>
    </format>
    <format dxfId="171">
      <pivotArea outline="0" collapsedLevelsAreSubtotals="1" fieldPosition="0"/>
    </format>
    <format dxfId="170">
      <pivotArea field="2" type="button" dataOnly="0" labelOnly="1" outline="0" axis="axisRow" fieldPosition="0"/>
    </format>
    <format dxfId="169">
      <pivotArea dataOnly="0" labelOnly="1" fieldPosition="0">
        <references count="1">
          <reference field="2" count="0"/>
        </references>
      </pivotArea>
    </format>
    <format dxfId="168">
      <pivotArea dataOnly="0" labelOnly="1" grandRow="1" outline="0" fieldPosition="0"/>
    </format>
    <format dxfId="167">
      <pivotArea dataOnly="0" labelOnly="1" outline="0" axis="axisValues" fieldPosition="0"/>
    </format>
    <format dxfId="166">
      <pivotArea type="all" dataOnly="0" outline="0" fieldPosition="0"/>
    </format>
    <format dxfId="165">
      <pivotArea outline="0" collapsedLevelsAreSubtotals="1" fieldPosition="0"/>
    </format>
    <format dxfId="164">
      <pivotArea field="2" type="button" dataOnly="0" labelOnly="1" outline="0" axis="axisRow" fieldPosition="0"/>
    </format>
    <format dxfId="163">
      <pivotArea dataOnly="0" labelOnly="1" fieldPosition="0">
        <references count="1">
          <reference field="2" count="0"/>
        </references>
      </pivotArea>
    </format>
    <format dxfId="162">
      <pivotArea dataOnly="0" labelOnly="1" grandRow="1" outline="0" fieldPosition="0"/>
    </format>
    <format dxfId="161">
      <pivotArea dataOnly="0" labelOnly="1" outline="0" axis="axisValues" fieldPosition="0"/>
    </format>
  </formats>
  <chartFormats count="1">
    <chartFormat chart="0"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6B8EDF-E0DA-438C-B83C-E5F6087468B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UISINE">
  <location ref="A23:B32" firstHeaderRow="1" firstDataRow="1" firstDataCol="1"/>
  <pivotFields count="14">
    <pivotField showAll="0"/>
    <pivotField numFmtId="14" showAll="0"/>
    <pivotField showAll="0">
      <items count="8">
        <item x="0"/>
        <item x="6"/>
        <item x="2"/>
        <item x="3"/>
        <item x="5"/>
        <item x="1"/>
        <item x="4"/>
        <item t="default"/>
      </items>
    </pivotField>
    <pivotField showAll="0"/>
    <pivotField axis="axisRow" showAll="0">
      <items count="9">
        <item x="0"/>
        <item x="1"/>
        <item x="3"/>
        <item x="6"/>
        <item x="7"/>
        <item x="2"/>
        <item x="4"/>
        <item x="5"/>
        <item t="default"/>
      </items>
    </pivotField>
    <pivotField dataField="1" showAll="0"/>
    <pivotField showAll="0"/>
    <pivotField showAll="0"/>
    <pivotField showAll="0"/>
    <pivotField showAll="0"/>
    <pivotField showAll="0"/>
    <pivotField showAll="0"/>
    <pivotField showAll="0"/>
    <pivotField showAll="0"/>
  </pivotFields>
  <rowFields count="1">
    <field x="4"/>
  </rowFields>
  <rowItems count="9">
    <i>
      <x/>
    </i>
    <i>
      <x v="1"/>
    </i>
    <i>
      <x v="2"/>
    </i>
    <i>
      <x v="3"/>
    </i>
    <i>
      <x v="4"/>
    </i>
    <i>
      <x v="5"/>
    </i>
    <i>
      <x v="6"/>
    </i>
    <i>
      <x v="7"/>
    </i>
    <i t="grand">
      <x/>
    </i>
  </rowItems>
  <colItems count="1">
    <i/>
  </colItems>
  <dataFields count="1">
    <dataField name="Sum of Order_Value" fld="5" baseField="0" baseItem="0"/>
  </dataFields>
  <formats count="24">
    <format dxfId="220">
      <pivotArea type="all" dataOnly="0" outline="0" fieldPosition="0"/>
    </format>
    <format dxfId="219">
      <pivotArea outline="0" collapsedLevelsAreSubtotals="1" fieldPosition="0"/>
    </format>
    <format dxfId="218">
      <pivotArea field="4" type="button" dataOnly="0" labelOnly="1" outline="0" axis="axisRow" fieldPosition="0"/>
    </format>
    <format dxfId="217">
      <pivotArea dataOnly="0" labelOnly="1" fieldPosition="0">
        <references count="1">
          <reference field="4" count="0"/>
        </references>
      </pivotArea>
    </format>
    <format dxfId="216">
      <pivotArea dataOnly="0" labelOnly="1" grandRow="1" outline="0" fieldPosition="0"/>
    </format>
    <format dxfId="215">
      <pivotArea dataOnly="0" labelOnly="1" outline="0" axis="axisValues" fieldPosition="0"/>
    </format>
    <format dxfId="214">
      <pivotArea type="all" dataOnly="0" outline="0" fieldPosition="0"/>
    </format>
    <format dxfId="213">
      <pivotArea outline="0" collapsedLevelsAreSubtotals="1" fieldPosition="0"/>
    </format>
    <format dxfId="212">
      <pivotArea field="4" type="button" dataOnly="0" labelOnly="1" outline="0" axis="axisRow" fieldPosition="0"/>
    </format>
    <format dxfId="211">
      <pivotArea dataOnly="0" labelOnly="1" fieldPosition="0">
        <references count="1">
          <reference field="4" count="0"/>
        </references>
      </pivotArea>
    </format>
    <format dxfId="210">
      <pivotArea dataOnly="0" labelOnly="1" grandRow="1" outline="0" fieldPosition="0"/>
    </format>
    <format dxfId="209">
      <pivotArea dataOnly="0" labelOnly="1" outline="0" axis="axisValues" fieldPosition="0"/>
    </format>
    <format dxfId="208">
      <pivotArea type="all" dataOnly="0" outline="0" fieldPosition="0"/>
    </format>
    <format dxfId="207">
      <pivotArea outline="0" collapsedLevelsAreSubtotals="1" fieldPosition="0"/>
    </format>
    <format dxfId="206">
      <pivotArea field="4" type="button" dataOnly="0" labelOnly="1" outline="0" axis="axisRow" fieldPosition="0"/>
    </format>
    <format dxfId="205">
      <pivotArea dataOnly="0" labelOnly="1" fieldPosition="0">
        <references count="1">
          <reference field="4" count="0"/>
        </references>
      </pivotArea>
    </format>
    <format dxfId="204">
      <pivotArea dataOnly="0" labelOnly="1" grandRow="1" outline="0" fieldPosition="0"/>
    </format>
    <format dxfId="203">
      <pivotArea dataOnly="0" labelOnly="1" outline="0" axis="axisValues" fieldPosition="0"/>
    </format>
    <format dxfId="202">
      <pivotArea type="all" dataOnly="0" outline="0" fieldPosition="0"/>
    </format>
    <format dxfId="201">
      <pivotArea outline="0" collapsedLevelsAreSubtotals="1" fieldPosition="0"/>
    </format>
    <format dxfId="200">
      <pivotArea field="4" type="button" dataOnly="0" labelOnly="1" outline="0" axis="axisRow" fieldPosition="0"/>
    </format>
    <format dxfId="199">
      <pivotArea dataOnly="0" labelOnly="1" fieldPosition="0">
        <references count="1">
          <reference field="4" count="0"/>
        </references>
      </pivotArea>
    </format>
    <format dxfId="198">
      <pivotArea dataOnly="0" labelOnly="1" grandRow="1" outline="0" fieldPosition="0"/>
    </format>
    <format dxfId="19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2BDB69D-D065-4360-9542-883D54DCF5F7}" autoFormatId="16" applyNumberFormats="0" applyBorderFormats="0" applyFontFormats="0" applyPatternFormats="0" applyAlignmentFormats="0" applyWidthHeightFormats="0">
  <queryTableRefresh nextId="15" unboundColumnsRight="1">
    <queryTableFields count="14">
      <queryTableField id="1" name="Order_ID" tableColumnId="1"/>
      <queryTableField id="2" name="Order_Date" tableColumnId="2"/>
      <queryTableField id="3" name="City" tableColumnId="3"/>
      <queryTableField id="4" name="Restaurant_Name" tableColumnId="4"/>
      <queryTableField id="5" name="Cuisine" tableColumnId="5"/>
      <queryTableField id="6" name="Order_Value" tableColumnId="6"/>
      <queryTableField id="7" name="Delivery_Fee" tableColumnId="7"/>
      <queryTableField id="8" name="Discount" tableColumnId="8"/>
      <queryTableField id="9" name="Net_Revenue" tableColumnId="9"/>
      <queryTableField id="10" name="Delivery_Time_min" tableColumnId="10"/>
      <queryTableField id="11" name="Payment_Method" tableColumnId="11"/>
      <queryTableField id="12" name="Customer_Rating" tableColumnId="12"/>
      <queryTableField id="13" name="Order_Status" tableColumnId="13"/>
      <queryTableField id="14"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42074C9-B695-45F5-ADBF-440800F78EBC}" sourceName="City">
  <pivotTables>
    <pivotTable tabId="3" name="PivotTable1"/>
    <pivotTable tabId="3" name="PivotTable2"/>
  </pivotTables>
  <data>
    <tabular pivotCacheId="236032020">
      <items count="7">
        <i x="0" s="1"/>
        <i x="6" s="1"/>
        <i x="2" s="1"/>
        <i x="3" s="1"/>
        <i x="5"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 xr10:uid="{2CF61254-D20F-41BE-B643-1A375ED91B50}" sourceName="Cuisine">
  <pivotTables>
    <pivotTable tabId="3" name="PivotTable1"/>
  </pivotTables>
  <data>
    <tabular pivotCacheId="236032020">
      <items count="8">
        <i x="0" s="1"/>
        <i x="1" s="1"/>
        <i x="3" s="1"/>
        <i x="6" s="1"/>
        <i x="7" s="1"/>
        <i x="2"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80185FCB-239E-4F26-9DEE-06ED36EE2792}" cache="Slicer_City" caption="City" rowHeight="241300"/>
  <slicer name="Cuisine" xr10:uid="{94C38BC6-6871-4A10-BE67-1E0E629022A6}" cache="Slicer_Cuisine" caption="Cuisin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2A6AD47-3CE3-4591-B416-654D9940E6D0}" name="Table1_1" displayName="Table1_1" ref="A1:N32" tableType="queryTable" totalsRowCount="1">
  <autoFilter ref="A1:N31" xr:uid="{42A6AD47-3CE3-4591-B416-654D9940E6D0}"/>
  <tableColumns count="14">
    <tableColumn id="1" xr3:uid="{4DF0CAB8-CB01-4EE8-B11F-EC2364F066C5}" uniqueName="1" name="Order_ID" queryTableFieldId="1" dataDxfId="142" totalsRowDxfId="141"/>
    <tableColumn id="2" xr3:uid="{E8586137-1B38-4890-9C0E-761BDE2A1185}" uniqueName="2" name="Order_Date" queryTableFieldId="2" dataDxfId="140" totalsRowDxfId="139"/>
    <tableColumn id="3" xr3:uid="{9B79069F-9C2B-4DB2-BE7F-9D4DC86A6B4D}" uniqueName="3" name="City" queryTableFieldId="3" dataDxfId="138" totalsRowDxfId="137"/>
    <tableColumn id="4" xr3:uid="{0F176F37-ABAA-4F88-8B2F-CB7018545D9A}" uniqueName="4" name="Restaurant_Name" queryTableFieldId="4" dataDxfId="136" totalsRowDxfId="135"/>
    <tableColumn id="5" xr3:uid="{FE0B0D1D-DEC9-487F-AC77-7DB868D53E88}" uniqueName="5" name="Cuisine" queryTableFieldId="5" dataDxfId="134" totalsRowDxfId="133"/>
    <tableColumn id="6" xr3:uid="{968F45F1-2DA6-4DE6-8EC2-52C7D4D60DEB}" uniqueName="6" name="Order_Value" totalsRowFunction="custom" queryTableFieldId="6">
      <totalsRowFormula>SUM(F2:F31)</totalsRowFormula>
    </tableColumn>
    <tableColumn id="7" xr3:uid="{BCD563E7-D0A5-4A18-9F92-5B55F4B14AB7}" uniqueName="7" name="Delivery_Fee" queryTableFieldId="7"/>
    <tableColumn id="8" xr3:uid="{D8254624-19B2-420B-9F52-997EF6BDD86B}" uniqueName="8" name="Discount" queryTableFieldId="8"/>
    <tableColumn id="9" xr3:uid="{08D80608-7DC0-4F7A-B538-EC7C912EF661}" uniqueName="9" name="Net_Revenue" totalsRowFunction="custom" queryTableFieldId="9">
      <totalsRowFormula>SUM(I2:I31)</totalsRowFormula>
    </tableColumn>
    <tableColumn id="10" xr3:uid="{9770395D-3DE9-4AFC-80F5-45629C9270EF}" uniqueName="10" name="Delivery_Time_min" queryTableFieldId="10"/>
    <tableColumn id="11" xr3:uid="{06D30842-2961-4994-8921-FE7CBD516E62}" uniqueName="11" name="Payment_Method" queryTableFieldId="11" dataDxfId="132" totalsRowDxfId="131"/>
    <tableColumn id="12" xr3:uid="{0F8983A5-8617-4B76-9FE2-DE7D23C8D9F9}" uniqueName="12" name="Customer_Rating" totalsRowFunction="custom" queryTableFieldId="12">
      <totalsRowFormula>AVERAGE(L2:L31)</totalsRowFormula>
    </tableColumn>
    <tableColumn id="13" xr3:uid="{3126703A-4546-4B7D-9AA5-4DFEE5BC0FBF}" uniqueName="13" name="Order_Status" queryTableFieldId="13" dataDxfId="130" totalsRowDxfId="129"/>
    <tableColumn id="14" xr3:uid="{933A9715-AECC-48E2-A798-32BFA28B708C}" uniqueName="14" name="Avg. Rating" queryTableField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03B567-D4B3-487D-96B7-4F0EBD1A128C}" name="Table1" displayName="Table1" ref="A1:M31" totalsRowShown="0" headerRowDxfId="128" dataDxfId="127">
  <autoFilter ref="A1:M31" xr:uid="{2403B567-D4B3-487D-96B7-4F0EBD1A128C}"/>
  <tableColumns count="13">
    <tableColumn id="1" xr3:uid="{059A8527-BFE8-462B-9E15-61B81881DDE9}" name="Order_ID" dataDxfId="126"/>
    <tableColumn id="2" xr3:uid="{2276791D-1A9A-41F1-9EF4-8C1C51297A6A}" name="Order_Date" dataDxfId="125"/>
    <tableColumn id="3" xr3:uid="{7EB19D94-4CB5-489F-9477-50E0F268AD78}" name="City" dataDxfId="124"/>
    <tableColumn id="4" xr3:uid="{736284BB-A4F8-436C-86B0-1E75F9BE38C3}" name="Restaurant_Name" dataDxfId="123"/>
    <tableColumn id="5" xr3:uid="{E8D1EFA4-911C-4414-9D57-A94C5AFD6516}" name="Cuisine" dataDxfId="122"/>
    <tableColumn id="6" xr3:uid="{95186E4D-8307-4045-87FA-B0DDC731DA93}" name="Order_Value" dataDxfId="121"/>
    <tableColumn id="7" xr3:uid="{6CB06BC1-65AE-43CF-85FD-08235D852973}" name="Delivery_Fee" dataDxfId="120"/>
    <tableColumn id="8" xr3:uid="{345DF4C2-F50E-4BB7-A0BB-5C9BB9EE1797}" name="Discount" dataDxfId="119"/>
    <tableColumn id="9" xr3:uid="{799D9CB8-6C83-4259-BD90-53D819BED48F}" name="Net_Revenue" dataDxfId="118"/>
    <tableColumn id="10" xr3:uid="{AEB8999A-F3E3-4937-A044-5486A224CCF6}" name="Delivery_Time_min" dataDxfId="117"/>
    <tableColumn id="11" xr3:uid="{7CDB67E4-24EB-481C-BAE8-9FE4848BAD0E}" name="Payment_Method" dataDxfId="116"/>
    <tableColumn id="12" xr3:uid="{9A2DC99A-BC5D-40CF-B70D-B15578C3AD65}" name="Customer_Rating" dataDxfId="115"/>
    <tableColumn id="13" xr3:uid="{ECF0A0DA-5B78-486F-8359-22D600B7FC32}" name="Order_Status" dataDxfId="1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138AE-B53E-4C9F-801D-6AF63A82EBEC}">
  <dimension ref="A1:D44"/>
  <sheetViews>
    <sheetView zoomScale="55" workbookViewId="0">
      <selection activeCell="O3" sqref="O3"/>
    </sheetView>
  </sheetViews>
  <sheetFormatPr defaultRowHeight="14.75" x14ac:dyDescent="0.75"/>
  <cols>
    <col min="1" max="1" width="11.04296875" style="9" bestFit="1" customWidth="1"/>
    <col min="2" max="2" width="19.2265625" style="9" bestFit="1" customWidth="1"/>
    <col min="3" max="3" width="18.5" style="9" bestFit="1" customWidth="1"/>
    <col min="4" max="4" width="17.86328125" style="9" bestFit="1" customWidth="1"/>
    <col min="5" max="5" width="3.6796875" style="9" bestFit="1" customWidth="1"/>
    <col min="6" max="6" width="10.58984375" style="9" bestFit="1" customWidth="1"/>
    <col min="7" max="7" width="6.40625" style="9" bestFit="1" customWidth="1"/>
    <col min="8" max="8" width="3.6796875" style="9" bestFit="1" customWidth="1"/>
    <col min="9" max="9" width="6.58984375" style="9" bestFit="1" customWidth="1"/>
    <col min="10" max="10" width="6.40625" style="9" bestFit="1" customWidth="1"/>
    <col min="11" max="11" width="10.58984375" style="9" bestFit="1" customWidth="1"/>
    <col min="12" max="90" width="18.36328125" style="9" bestFit="1" customWidth="1"/>
    <col min="91" max="91" width="16.26953125" style="9" bestFit="1" customWidth="1"/>
    <col min="92" max="92" width="23.1328125" style="9" bestFit="1" customWidth="1"/>
    <col min="93" max="93" width="22.54296875" style="9" bestFit="1" customWidth="1"/>
    <col min="94" max="16384" width="8.7265625" style="9"/>
  </cols>
  <sheetData>
    <row r="1" spans="1:4" ht="83" customHeight="1" x14ac:dyDescent="0.75"/>
    <row r="3" spans="1:4" ht="32.35" customHeight="1" x14ac:dyDescent="0.75"/>
    <row r="6" spans="1:4" x14ac:dyDescent="0.75">
      <c r="A6" s="13" t="s">
        <v>77</v>
      </c>
      <c r="B6" s="13" t="s">
        <v>74</v>
      </c>
      <c r="C6" s="13" t="s">
        <v>73</v>
      </c>
      <c r="D6"/>
    </row>
    <row r="7" spans="1:4" x14ac:dyDescent="0.75">
      <c r="A7" s="14" t="s">
        <v>1</v>
      </c>
      <c r="B7" s="17">
        <v>3960</v>
      </c>
      <c r="C7" s="17">
        <v>4570</v>
      </c>
      <c r="D7"/>
    </row>
    <row r="8" spans="1:4" x14ac:dyDescent="0.75">
      <c r="A8" s="14" t="s">
        <v>49</v>
      </c>
      <c r="B8" s="17">
        <v>1450</v>
      </c>
      <c r="C8" s="17">
        <v>1600</v>
      </c>
      <c r="D8"/>
    </row>
    <row r="9" spans="1:4" x14ac:dyDescent="0.75">
      <c r="A9" s="14" t="s">
        <v>28</v>
      </c>
      <c r="B9" s="17">
        <v>3750</v>
      </c>
      <c r="C9" s="17">
        <v>4050</v>
      </c>
      <c r="D9"/>
    </row>
    <row r="10" spans="1:4" x14ac:dyDescent="0.75">
      <c r="A10" s="14" t="s">
        <v>32</v>
      </c>
      <c r="B10" s="17">
        <v>2935</v>
      </c>
      <c r="C10" s="17">
        <v>3360</v>
      </c>
      <c r="D10"/>
    </row>
    <row r="11" spans="1:4" x14ac:dyDescent="0.75">
      <c r="A11" s="14" t="s">
        <v>45</v>
      </c>
      <c r="B11" s="17">
        <v>1125</v>
      </c>
      <c r="C11" s="17">
        <v>1110</v>
      </c>
      <c r="D11"/>
    </row>
    <row r="12" spans="1:4" x14ac:dyDescent="0.75">
      <c r="A12" s="14" t="s">
        <v>23</v>
      </c>
      <c r="B12" s="17">
        <v>3550</v>
      </c>
      <c r="C12" s="17">
        <v>3830</v>
      </c>
      <c r="D12"/>
    </row>
    <row r="13" spans="1:4" x14ac:dyDescent="0.75">
      <c r="A13" s="14" t="s">
        <v>35</v>
      </c>
      <c r="B13" s="17">
        <v>1184</v>
      </c>
      <c r="C13" s="17">
        <v>1560</v>
      </c>
      <c r="D13"/>
    </row>
    <row r="14" spans="1:4" x14ac:dyDescent="0.75">
      <c r="A14" s="14" t="s">
        <v>72</v>
      </c>
      <c r="B14" s="17">
        <v>17954</v>
      </c>
      <c r="C14" s="17">
        <v>20080</v>
      </c>
      <c r="D14"/>
    </row>
    <row r="16" spans="1:4" x14ac:dyDescent="0.75">
      <c r="C16" s="10"/>
    </row>
    <row r="23" spans="1:2" x14ac:dyDescent="0.75">
      <c r="A23" s="15" t="s">
        <v>78</v>
      </c>
      <c r="B23" s="15" t="s">
        <v>73</v>
      </c>
    </row>
    <row r="24" spans="1:2" x14ac:dyDescent="0.75">
      <c r="A24" s="16" t="s">
        <v>21</v>
      </c>
      <c r="B24" s="18">
        <v>4000</v>
      </c>
    </row>
    <row r="25" spans="1:2" x14ac:dyDescent="0.75">
      <c r="A25" s="16" t="s">
        <v>25</v>
      </c>
      <c r="B25" s="18">
        <v>1900</v>
      </c>
    </row>
    <row r="26" spans="1:2" x14ac:dyDescent="0.75">
      <c r="A26" s="16" t="s">
        <v>37</v>
      </c>
      <c r="B26" s="18">
        <v>1160</v>
      </c>
    </row>
    <row r="27" spans="1:2" x14ac:dyDescent="0.75">
      <c r="A27" s="16" t="s">
        <v>46</v>
      </c>
      <c r="B27" s="18">
        <v>1320</v>
      </c>
    </row>
    <row r="28" spans="1:2" x14ac:dyDescent="0.75">
      <c r="A28" s="16" t="s">
        <v>50</v>
      </c>
      <c r="B28" s="18">
        <v>2130</v>
      </c>
    </row>
    <row r="29" spans="1:2" x14ac:dyDescent="0.75">
      <c r="A29" s="16" t="s">
        <v>30</v>
      </c>
      <c r="B29" s="18">
        <v>4120</v>
      </c>
    </row>
    <row r="30" spans="1:2" x14ac:dyDescent="0.75">
      <c r="A30" s="16" t="s">
        <v>3</v>
      </c>
      <c r="B30" s="18">
        <v>3410</v>
      </c>
    </row>
    <row r="31" spans="1:2" x14ac:dyDescent="0.75">
      <c r="A31" s="16" t="s">
        <v>43</v>
      </c>
      <c r="B31" s="18">
        <v>2040</v>
      </c>
    </row>
    <row r="32" spans="1:2" x14ac:dyDescent="0.75">
      <c r="A32" s="16" t="s">
        <v>72</v>
      </c>
      <c r="B32" s="18">
        <v>20080</v>
      </c>
    </row>
    <row r="36" spans="1:2" ht="16" x14ac:dyDescent="0.8">
      <c r="A36" s="11" t="s">
        <v>77</v>
      </c>
      <c r="B36" s="11" t="s">
        <v>76</v>
      </c>
    </row>
    <row r="37" spans="1:2" ht="16" x14ac:dyDescent="0.8">
      <c r="A37" s="12" t="s">
        <v>1</v>
      </c>
      <c r="B37" s="11">
        <v>5</v>
      </c>
    </row>
    <row r="38" spans="1:2" ht="16" x14ac:dyDescent="0.8">
      <c r="A38" s="12" t="s">
        <v>49</v>
      </c>
      <c r="B38" s="11">
        <v>5</v>
      </c>
    </row>
    <row r="39" spans="1:2" ht="16" x14ac:dyDescent="0.8">
      <c r="A39" s="12" t="s">
        <v>28</v>
      </c>
      <c r="B39" s="11">
        <v>4.833333333333333</v>
      </c>
    </row>
    <row r="40" spans="1:2" ht="16" x14ac:dyDescent="0.8">
      <c r="A40" s="12" t="s">
        <v>32</v>
      </c>
      <c r="B40" s="11">
        <v>4</v>
      </c>
    </row>
    <row r="41" spans="1:2" ht="16" x14ac:dyDescent="0.8">
      <c r="A41" s="12" t="s">
        <v>45</v>
      </c>
      <c r="B41" s="11">
        <v>4</v>
      </c>
    </row>
    <row r="42" spans="1:2" ht="16" x14ac:dyDescent="0.8">
      <c r="A42" s="12" t="s">
        <v>23</v>
      </c>
      <c r="B42" s="11">
        <v>4</v>
      </c>
    </row>
    <row r="43" spans="1:2" ht="16" x14ac:dyDescent="0.8">
      <c r="A43" s="12" t="s">
        <v>35</v>
      </c>
      <c r="B43" s="11">
        <v>3.25</v>
      </c>
    </row>
    <row r="44" spans="1:2" ht="16" x14ac:dyDescent="0.8">
      <c r="A44" s="12" t="s">
        <v>72</v>
      </c>
      <c r="B44" s="11">
        <v>4.333333333333333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8B09A-231F-42B3-846E-3A95EB30D28E}">
  <dimension ref="A1:N32"/>
  <sheetViews>
    <sheetView workbookViewId="0">
      <selection sqref="A1:N31"/>
    </sheetView>
  </sheetViews>
  <sheetFormatPr defaultRowHeight="14.75" x14ac:dyDescent="0.75"/>
  <cols>
    <col min="1" max="1" width="10.6796875" bestFit="1" customWidth="1"/>
    <col min="2" max="2" width="12.81640625" bestFit="1" customWidth="1"/>
    <col min="3" max="3" width="9.54296875" bestFit="1" customWidth="1"/>
    <col min="4" max="4" width="18.1796875" bestFit="1" customWidth="1"/>
    <col min="5" max="5" width="10.90625" bestFit="1" customWidth="1"/>
    <col min="6" max="6" width="13.6328125" bestFit="1" customWidth="1"/>
    <col min="7" max="7" width="13.76953125" bestFit="1" customWidth="1"/>
    <col min="8" max="8" width="10.31640625" bestFit="1" customWidth="1"/>
    <col min="9" max="9" width="14.2265625" bestFit="1" customWidth="1"/>
    <col min="10" max="10" width="19.31640625" bestFit="1" customWidth="1"/>
    <col min="11" max="11" width="18.08984375" bestFit="1" customWidth="1"/>
    <col min="12" max="12" width="17.453125" bestFit="1" customWidth="1"/>
    <col min="13" max="13" width="14.08984375" bestFit="1" customWidth="1"/>
    <col min="14" max="14" width="12.453125" bestFit="1" customWidth="1"/>
  </cols>
  <sheetData>
    <row r="1" spans="1:14" x14ac:dyDescent="0.75">
      <c r="A1" t="s">
        <v>6</v>
      </c>
      <c r="B1" t="s">
        <v>7</v>
      </c>
      <c r="C1" t="s">
        <v>8</v>
      </c>
      <c r="D1" t="s">
        <v>9</v>
      </c>
      <c r="E1" t="s">
        <v>10</v>
      </c>
      <c r="F1" t="s">
        <v>11</v>
      </c>
      <c r="G1" t="s">
        <v>12</v>
      </c>
      <c r="H1" t="s">
        <v>13</v>
      </c>
      <c r="I1" t="s">
        <v>14</v>
      </c>
      <c r="J1" t="s">
        <v>15</v>
      </c>
      <c r="K1" t="s">
        <v>16</v>
      </c>
      <c r="L1" t="s">
        <v>17</v>
      </c>
      <c r="M1" t="s">
        <v>18</v>
      </c>
      <c r="N1" t="s">
        <v>75</v>
      </c>
    </row>
    <row r="2" spans="1:14" x14ac:dyDescent="0.75">
      <c r="A2" t="s">
        <v>19</v>
      </c>
      <c r="B2" s="8">
        <v>45337</v>
      </c>
      <c r="C2" t="s">
        <v>1</v>
      </c>
      <c r="D2" t="s">
        <v>20</v>
      </c>
      <c r="E2" t="s">
        <v>21</v>
      </c>
      <c r="F2">
        <v>850</v>
      </c>
      <c r="G2">
        <v>0</v>
      </c>
      <c r="H2">
        <v>100</v>
      </c>
      <c r="I2">
        <v>750</v>
      </c>
      <c r="J2">
        <v>32</v>
      </c>
      <c r="K2" t="s">
        <v>4</v>
      </c>
      <c r="L2">
        <v>5</v>
      </c>
      <c r="M2" t="s">
        <v>5</v>
      </c>
      <c r="N2">
        <v>4.3</v>
      </c>
    </row>
    <row r="3" spans="1:14" x14ac:dyDescent="0.75">
      <c r="A3" t="s">
        <v>22</v>
      </c>
      <c r="B3" s="8">
        <v>45434</v>
      </c>
      <c r="C3" t="s">
        <v>23</v>
      </c>
      <c r="D3" t="s">
        <v>24</v>
      </c>
      <c r="E3" t="s">
        <v>25</v>
      </c>
      <c r="F3">
        <v>450</v>
      </c>
      <c r="G3">
        <v>35</v>
      </c>
      <c r="H3">
        <v>50</v>
      </c>
      <c r="I3">
        <v>435</v>
      </c>
      <c r="J3">
        <v>28</v>
      </c>
      <c r="K3" t="s">
        <v>26</v>
      </c>
      <c r="L3">
        <v>4</v>
      </c>
      <c r="M3" t="s">
        <v>5</v>
      </c>
    </row>
    <row r="4" spans="1:14" x14ac:dyDescent="0.75">
      <c r="A4" t="s">
        <v>27</v>
      </c>
      <c r="B4" s="8">
        <v>45301</v>
      </c>
      <c r="C4" t="s">
        <v>28</v>
      </c>
      <c r="D4" t="s">
        <v>29</v>
      </c>
      <c r="E4" t="s">
        <v>30</v>
      </c>
      <c r="F4">
        <v>1100</v>
      </c>
      <c r="G4">
        <v>20</v>
      </c>
      <c r="H4">
        <v>150</v>
      </c>
      <c r="I4">
        <v>970</v>
      </c>
      <c r="J4">
        <v>41</v>
      </c>
      <c r="K4" t="s">
        <v>4</v>
      </c>
      <c r="L4">
        <v>5</v>
      </c>
      <c r="M4" t="s">
        <v>5</v>
      </c>
    </row>
    <row r="5" spans="1:14" x14ac:dyDescent="0.75">
      <c r="A5" t="s">
        <v>31</v>
      </c>
      <c r="B5" s="8">
        <v>45491</v>
      </c>
      <c r="C5" t="s">
        <v>32</v>
      </c>
      <c r="D5" t="s">
        <v>33</v>
      </c>
      <c r="E5" t="s">
        <v>21</v>
      </c>
      <c r="F5">
        <v>680</v>
      </c>
      <c r="G5">
        <v>0</v>
      </c>
      <c r="H5">
        <v>80</v>
      </c>
      <c r="I5">
        <v>600</v>
      </c>
      <c r="J5">
        <v>25</v>
      </c>
      <c r="K5" t="s">
        <v>4</v>
      </c>
      <c r="L5">
        <v>4</v>
      </c>
      <c r="M5" t="s">
        <v>5</v>
      </c>
    </row>
    <row r="6" spans="1:14" x14ac:dyDescent="0.75">
      <c r="A6" t="s">
        <v>34</v>
      </c>
      <c r="B6" s="8">
        <v>45376</v>
      </c>
      <c r="C6" t="s">
        <v>35</v>
      </c>
      <c r="D6" t="s">
        <v>36</v>
      </c>
      <c r="E6" t="s">
        <v>37</v>
      </c>
      <c r="F6">
        <v>320</v>
      </c>
      <c r="G6">
        <v>35</v>
      </c>
      <c r="H6">
        <v>0</v>
      </c>
      <c r="I6">
        <v>355</v>
      </c>
      <c r="J6">
        <v>38</v>
      </c>
      <c r="K6" t="s">
        <v>38</v>
      </c>
      <c r="L6">
        <v>3</v>
      </c>
      <c r="M6" t="s">
        <v>5</v>
      </c>
    </row>
    <row r="7" spans="1:14" x14ac:dyDescent="0.75">
      <c r="A7" t="s">
        <v>0</v>
      </c>
      <c r="B7" s="8">
        <v>45626</v>
      </c>
      <c r="C7" t="s">
        <v>1</v>
      </c>
      <c r="D7" t="s">
        <v>2</v>
      </c>
      <c r="E7" t="s">
        <v>3</v>
      </c>
      <c r="F7">
        <v>750</v>
      </c>
      <c r="G7">
        <v>0</v>
      </c>
      <c r="H7">
        <v>120</v>
      </c>
      <c r="I7">
        <v>630</v>
      </c>
      <c r="J7">
        <v>42</v>
      </c>
      <c r="K7" t="s">
        <v>4</v>
      </c>
      <c r="L7">
        <v>5</v>
      </c>
      <c r="M7" t="s">
        <v>5</v>
      </c>
    </row>
    <row r="8" spans="1:14" x14ac:dyDescent="0.75">
      <c r="A8" t="s">
        <v>39</v>
      </c>
      <c r="B8" s="8">
        <v>45394</v>
      </c>
      <c r="C8" t="s">
        <v>23</v>
      </c>
      <c r="D8" t="s">
        <v>40</v>
      </c>
      <c r="E8" t="s">
        <v>25</v>
      </c>
      <c r="F8">
        <v>290</v>
      </c>
      <c r="G8">
        <v>20</v>
      </c>
      <c r="H8">
        <v>30</v>
      </c>
      <c r="I8">
        <v>280</v>
      </c>
      <c r="J8">
        <v>35</v>
      </c>
      <c r="K8" t="s">
        <v>41</v>
      </c>
      <c r="L8">
        <v>4</v>
      </c>
      <c r="M8" t="s">
        <v>5</v>
      </c>
    </row>
    <row r="9" spans="1:14" x14ac:dyDescent="0.75">
      <c r="A9" t="s">
        <v>42</v>
      </c>
      <c r="B9" s="8">
        <v>45518</v>
      </c>
      <c r="C9" t="s">
        <v>28</v>
      </c>
      <c r="D9" t="s">
        <v>20</v>
      </c>
      <c r="E9" t="s">
        <v>43</v>
      </c>
      <c r="F9">
        <v>550</v>
      </c>
      <c r="G9">
        <v>35</v>
      </c>
      <c r="H9">
        <v>75</v>
      </c>
      <c r="I9">
        <v>510</v>
      </c>
      <c r="J9">
        <v>48</v>
      </c>
      <c r="K9" t="s">
        <v>26</v>
      </c>
      <c r="L9">
        <v>5</v>
      </c>
      <c r="M9" t="s">
        <v>5</v>
      </c>
    </row>
    <row r="10" spans="1:14" x14ac:dyDescent="0.75">
      <c r="A10" t="s">
        <v>44</v>
      </c>
      <c r="B10" s="8">
        <v>45540</v>
      </c>
      <c r="C10" t="s">
        <v>45</v>
      </c>
      <c r="D10" t="s">
        <v>29</v>
      </c>
      <c r="E10" t="s">
        <v>46</v>
      </c>
      <c r="F10">
        <v>420</v>
      </c>
      <c r="G10">
        <v>50</v>
      </c>
      <c r="H10">
        <v>0</v>
      </c>
      <c r="I10">
        <v>470</v>
      </c>
      <c r="J10">
        <v>55</v>
      </c>
      <c r="K10" t="s">
        <v>47</v>
      </c>
      <c r="L10">
        <v>4</v>
      </c>
      <c r="M10" t="s">
        <v>5</v>
      </c>
    </row>
    <row r="11" spans="1:14" x14ac:dyDescent="0.75">
      <c r="A11" t="s">
        <v>48</v>
      </c>
      <c r="B11" s="8">
        <v>45463</v>
      </c>
      <c r="C11" t="s">
        <v>49</v>
      </c>
      <c r="D11" t="s">
        <v>36</v>
      </c>
      <c r="E11" t="s">
        <v>50</v>
      </c>
      <c r="F11">
        <v>890</v>
      </c>
      <c r="G11">
        <v>0</v>
      </c>
      <c r="H11">
        <v>100</v>
      </c>
      <c r="I11">
        <v>790</v>
      </c>
      <c r="J11">
        <v>30</v>
      </c>
      <c r="K11" t="s">
        <v>4</v>
      </c>
      <c r="L11">
        <v>5</v>
      </c>
      <c r="M11" t="s">
        <v>5</v>
      </c>
    </row>
    <row r="12" spans="1:14" x14ac:dyDescent="0.75">
      <c r="A12" t="s">
        <v>51</v>
      </c>
      <c r="B12" s="8">
        <v>45636</v>
      </c>
      <c r="C12" t="s">
        <v>1</v>
      </c>
      <c r="D12" t="s">
        <v>24</v>
      </c>
      <c r="E12" t="s">
        <v>3</v>
      </c>
      <c r="F12">
        <v>1150</v>
      </c>
      <c r="G12">
        <v>0</v>
      </c>
      <c r="H12">
        <v>200</v>
      </c>
      <c r="I12">
        <v>950</v>
      </c>
      <c r="J12">
        <v>39</v>
      </c>
      <c r="K12" t="s">
        <v>4</v>
      </c>
      <c r="L12">
        <v>5</v>
      </c>
      <c r="M12" t="s">
        <v>52</v>
      </c>
    </row>
    <row r="13" spans="1:14" x14ac:dyDescent="0.75">
      <c r="A13" t="s">
        <v>53</v>
      </c>
      <c r="B13" s="8">
        <v>45350</v>
      </c>
      <c r="C13" t="s">
        <v>23</v>
      </c>
      <c r="D13" t="s">
        <v>33</v>
      </c>
      <c r="E13" t="s">
        <v>21</v>
      </c>
      <c r="F13">
        <v>670</v>
      </c>
      <c r="G13">
        <v>20</v>
      </c>
      <c r="H13">
        <v>50</v>
      </c>
      <c r="I13">
        <v>640</v>
      </c>
      <c r="J13">
        <v>44</v>
      </c>
      <c r="K13" t="s">
        <v>26</v>
      </c>
      <c r="L13">
        <v>4</v>
      </c>
      <c r="M13" t="s">
        <v>5</v>
      </c>
    </row>
    <row r="14" spans="1:14" x14ac:dyDescent="0.75">
      <c r="A14" t="s">
        <v>54</v>
      </c>
      <c r="B14" s="8">
        <v>45580</v>
      </c>
      <c r="C14" t="s">
        <v>32</v>
      </c>
      <c r="D14" t="s">
        <v>20</v>
      </c>
      <c r="E14" t="s">
        <v>30</v>
      </c>
      <c r="F14">
        <v>980</v>
      </c>
      <c r="G14">
        <v>35</v>
      </c>
      <c r="H14">
        <v>120</v>
      </c>
      <c r="I14">
        <v>895</v>
      </c>
      <c r="J14">
        <v>51</v>
      </c>
      <c r="K14" t="s">
        <v>38</v>
      </c>
      <c r="L14">
        <v>5</v>
      </c>
      <c r="M14" t="s">
        <v>5</v>
      </c>
    </row>
    <row r="15" spans="1:14" x14ac:dyDescent="0.75">
      <c r="A15" t="s">
        <v>55</v>
      </c>
      <c r="B15" s="8">
        <v>45313</v>
      </c>
      <c r="C15" t="s">
        <v>35</v>
      </c>
      <c r="D15" t="s">
        <v>2</v>
      </c>
      <c r="E15" t="s">
        <v>37</v>
      </c>
      <c r="F15">
        <v>360</v>
      </c>
      <c r="G15">
        <v>0</v>
      </c>
      <c r="H15">
        <v>20</v>
      </c>
      <c r="I15">
        <v>340</v>
      </c>
      <c r="J15">
        <v>29</v>
      </c>
      <c r="K15" t="s">
        <v>4</v>
      </c>
      <c r="L15">
        <v>3</v>
      </c>
      <c r="M15" t="s">
        <v>5</v>
      </c>
    </row>
    <row r="16" spans="1:14" x14ac:dyDescent="0.75">
      <c r="A16" t="s">
        <v>56</v>
      </c>
      <c r="B16" s="8">
        <v>45414</v>
      </c>
      <c r="C16" t="s">
        <v>28</v>
      </c>
      <c r="D16" t="s">
        <v>40</v>
      </c>
      <c r="E16" t="s">
        <v>25</v>
      </c>
      <c r="F16">
        <v>410</v>
      </c>
      <c r="G16">
        <v>20</v>
      </c>
      <c r="H16">
        <v>0</v>
      </c>
      <c r="I16">
        <v>430</v>
      </c>
      <c r="J16">
        <v>33</v>
      </c>
      <c r="K16" t="s">
        <v>41</v>
      </c>
      <c r="L16">
        <v>4</v>
      </c>
      <c r="M16" t="s">
        <v>5</v>
      </c>
    </row>
    <row r="17" spans="1:13" x14ac:dyDescent="0.75">
      <c r="A17" t="s">
        <v>57</v>
      </c>
      <c r="B17" s="8">
        <v>45482</v>
      </c>
      <c r="C17" t="s">
        <v>1</v>
      </c>
      <c r="D17" t="s">
        <v>29</v>
      </c>
      <c r="E17" t="s">
        <v>46</v>
      </c>
      <c r="F17">
        <v>520</v>
      </c>
      <c r="G17">
        <v>0</v>
      </c>
      <c r="H17">
        <v>80</v>
      </c>
      <c r="I17">
        <v>440</v>
      </c>
      <c r="J17">
        <v>46</v>
      </c>
      <c r="K17" t="s">
        <v>4</v>
      </c>
      <c r="L17">
        <v>5</v>
      </c>
      <c r="M17" t="s">
        <v>5</v>
      </c>
    </row>
    <row r="18" spans="1:13" x14ac:dyDescent="0.75">
      <c r="A18" t="s">
        <v>58</v>
      </c>
      <c r="B18" s="8">
        <v>45369</v>
      </c>
      <c r="C18" t="s">
        <v>23</v>
      </c>
      <c r="D18" t="s">
        <v>36</v>
      </c>
      <c r="E18" t="s">
        <v>43</v>
      </c>
      <c r="F18">
        <v>780</v>
      </c>
      <c r="G18">
        <v>35</v>
      </c>
      <c r="H18">
        <v>90</v>
      </c>
      <c r="I18">
        <v>725</v>
      </c>
      <c r="J18">
        <v>37</v>
      </c>
      <c r="K18" t="s">
        <v>26</v>
      </c>
      <c r="L18">
        <v>4</v>
      </c>
      <c r="M18" t="s">
        <v>5</v>
      </c>
    </row>
    <row r="19" spans="1:13" x14ac:dyDescent="0.75">
      <c r="A19" t="s">
        <v>59</v>
      </c>
      <c r="B19" s="8">
        <v>45607</v>
      </c>
      <c r="C19" t="s">
        <v>28</v>
      </c>
      <c r="D19" t="s">
        <v>24</v>
      </c>
      <c r="E19" t="s">
        <v>50</v>
      </c>
      <c r="F19">
        <v>650</v>
      </c>
      <c r="G19">
        <v>20</v>
      </c>
      <c r="H19">
        <v>60</v>
      </c>
      <c r="I19">
        <v>610</v>
      </c>
      <c r="J19">
        <v>40</v>
      </c>
      <c r="K19" t="s">
        <v>38</v>
      </c>
      <c r="L19">
        <v>5</v>
      </c>
      <c r="M19" t="s">
        <v>5</v>
      </c>
    </row>
    <row r="20" spans="1:13" x14ac:dyDescent="0.75">
      <c r="A20" t="s">
        <v>60</v>
      </c>
      <c r="B20" s="8">
        <v>45412</v>
      </c>
      <c r="C20" t="s">
        <v>32</v>
      </c>
      <c r="D20" t="s">
        <v>2</v>
      </c>
      <c r="E20" t="s">
        <v>3</v>
      </c>
      <c r="F20">
        <v>820</v>
      </c>
      <c r="G20">
        <v>0</v>
      </c>
      <c r="H20">
        <v>150</v>
      </c>
      <c r="I20">
        <v>670</v>
      </c>
      <c r="J20">
        <v>45</v>
      </c>
      <c r="K20" t="s">
        <v>4</v>
      </c>
      <c r="L20">
        <v>2</v>
      </c>
      <c r="M20" t="s">
        <v>5</v>
      </c>
    </row>
    <row r="21" spans="1:13" x14ac:dyDescent="0.75">
      <c r="A21" t="s">
        <v>61</v>
      </c>
      <c r="B21" s="8">
        <v>45526</v>
      </c>
      <c r="C21" t="s">
        <v>1</v>
      </c>
      <c r="D21" t="s">
        <v>33</v>
      </c>
      <c r="E21" t="s">
        <v>21</v>
      </c>
      <c r="F21">
        <v>920</v>
      </c>
      <c r="G21">
        <v>0</v>
      </c>
      <c r="H21">
        <v>100</v>
      </c>
      <c r="I21">
        <v>820</v>
      </c>
      <c r="J21">
        <v>31</v>
      </c>
      <c r="K21" t="s">
        <v>4</v>
      </c>
      <c r="L21">
        <v>5</v>
      </c>
      <c r="M21" t="s">
        <v>5</v>
      </c>
    </row>
    <row r="22" spans="1:13" x14ac:dyDescent="0.75">
      <c r="A22" t="s">
        <v>62</v>
      </c>
      <c r="B22" s="8">
        <v>45563</v>
      </c>
      <c r="C22" t="s">
        <v>23</v>
      </c>
      <c r="D22" t="s">
        <v>20</v>
      </c>
      <c r="E22" t="s">
        <v>30</v>
      </c>
      <c r="F22">
        <v>1050</v>
      </c>
      <c r="G22">
        <v>35</v>
      </c>
      <c r="H22">
        <v>180</v>
      </c>
      <c r="I22">
        <v>905</v>
      </c>
      <c r="J22">
        <v>58</v>
      </c>
      <c r="K22" t="s">
        <v>26</v>
      </c>
      <c r="L22">
        <v>4</v>
      </c>
      <c r="M22" t="s">
        <v>5</v>
      </c>
    </row>
    <row r="23" spans="1:13" x14ac:dyDescent="0.75">
      <c r="A23" t="s">
        <v>63</v>
      </c>
      <c r="B23" s="8">
        <v>45458</v>
      </c>
      <c r="C23" t="s">
        <v>35</v>
      </c>
      <c r="D23" t="s">
        <v>29</v>
      </c>
      <c r="E23" t="s">
        <v>37</v>
      </c>
      <c r="F23">
        <v>480</v>
      </c>
      <c r="G23">
        <v>20</v>
      </c>
      <c r="H23">
        <v>40</v>
      </c>
      <c r="I23">
        <v>460</v>
      </c>
      <c r="J23">
        <v>27</v>
      </c>
      <c r="K23" t="s">
        <v>38</v>
      </c>
      <c r="L23">
        <v>3</v>
      </c>
      <c r="M23" t="s">
        <v>5</v>
      </c>
    </row>
    <row r="24" spans="1:13" x14ac:dyDescent="0.75">
      <c r="A24" t="s">
        <v>64</v>
      </c>
      <c r="B24" s="8">
        <v>45651</v>
      </c>
      <c r="C24" t="s">
        <v>28</v>
      </c>
      <c r="D24" t="s">
        <v>40</v>
      </c>
      <c r="E24" t="s">
        <v>25</v>
      </c>
      <c r="F24">
        <v>350</v>
      </c>
      <c r="G24">
        <v>0</v>
      </c>
      <c r="H24">
        <v>0</v>
      </c>
      <c r="I24">
        <v>350</v>
      </c>
      <c r="J24">
        <v>26</v>
      </c>
      <c r="K24" t="s">
        <v>4</v>
      </c>
      <c r="L24">
        <v>5</v>
      </c>
      <c r="M24" t="s">
        <v>5</v>
      </c>
    </row>
    <row r="25" spans="1:13" x14ac:dyDescent="0.75">
      <c r="A25" t="s">
        <v>65</v>
      </c>
      <c r="B25" s="8">
        <v>45332</v>
      </c>
      <c r="C25" t="s">
        <v>45</v>
      </c>
      <c r="D25" t="s">
        <v>2</v>
      </c>
      <c r="E25" t="s">
        <v>3</v>
      </c>
      <c r="F25">
        <v>690</v>
      </c>
      <c r="G25">
        <v>35</v>
      </c>
      <c r="H25">
        <v>70</v>
      </c>
      <c r="I25">
        <v>655</v>
      </c>
      <c r="J25">
        <v>62</v>
      </c>
      <c r="K25" t="s">
        <v>41</v>
      </c>
      <c r="L25">
        <v>4</v>
      </c>
      <c r="M25" t="s">
        <v>5</v>
      </c>
    </row>
    <row r="26" spans="1:13" x14ac:dyDescent="0.75">
      <c r="A26" t="s">
        <v>66</v>
      </c>
      <c r="B26" s="8">
        <v>45585</v>
      </c>
      <c r="C26" t="s">
        <v>1</v>
      </c>
      <c r="D26" t="s">
        <v>36</v>
      </c>
      <c r="E26" t="s">
        <v>46</v>
      </c>
      <c r="F26">
        <v>380</v>
      </c>
      <c r="G26">
        <v>20</v>
      </c>
      <c r="H26">
        <v>30</v>
      </c>
      <c r="I26">
        <v>370</v>
      </c>
      <c r="J26">
        <v>36</v>
      </c>
      <c r="K26" t="s">
        <v>4</v>
      </c>
      <c r="L26">
        <v>5</v>
      </c>
      <c r="M26" t="s">
        <v>5</v>
      </c>
    </row>
    <row r="27" spans="1:13" x14ac:dyDescent="0.75">
      <c r="A27" t="s">
        <v>67</v>
      </c>
      <c r="B27" s="8">
        <v>45428</v>
      </c>
      <c r="C27" t="s">
        <v>49</v>
      </c>
      <c r="D27" t="s">
        <v>24</v>
      </c>
      <c r="E27" t="s">
        <v>43</v>
      </c>
      <c r="F27">
        <v>710</v>
      </c>
      <c r="G27">
        <v>0</v>
      </c>
      <c r="H27">
        <v>50</v>
      </c>
      <c r="I27">
        <v>660</v>
      </c>
      <c r="J27">
        <v>43</v>
      </c>
      <c r="K27" t="s">
        <v>26</v>
      </c>
      <c r="L27">
        <v>5</v>
      </c>
      <c r="M27" t="s">
        <v>5</v>
      </c>
    </row>
    <row r="28" spans="1:13" x14ac:dyDescent="0.75">
      <c r="A28" t="s">
        <v>68</v>
      </c>
      <c r="B28" s="8">
        <v>45353</v>
      </c>
      <c r="C28" t="s">
        <v>23</v>
      </c>
      <c r="D28" t="s">
        <v>33</v>
      </c>
      <c r="E28" t="s">
        <v>50</v>
      </c>
      <c r="F28">
        <v>590</v>
      </c>
      <c r="G28">
        <v>35</v>
      </c>
      <c r="H28">
        <v>60</v>
      </c>
      <c r="I28">
        <v>565</v>
      </c>
      <c r="J28">
        <v>49</v>
      </c>
      <c r="K28" t="s">
        <v>47</v>
      </c>
      <c r="L28">
        <v>4</v>
      </c>
      <c r="M28" t="s">
        <v>5</v>
      </c>
    </row>
    <row r="29" spans="1:13" x14ac:dyDescent="0.75">
      <c r="A29" t="s">
        <v>69</v>
      </c>
      <c r="B29" s="8">
        <v>45500</v>
      </c>
      <c r="C29" t="s">
        <v>32</v>
      </c>
      <c r="D29" t="s">
        <v>20</v>
      </c>
      <c r="E29" t="s">
        <v>21</v>
      </c>
      <c r="F29">
        <v>880</v>
      </c>
      <c r="G29">
        <v>0</v>
      </c>
      <c r="H29">
        <v>110</v>
      </c>
      <c r="I29">
        <v>770</v>
      </c>
      <c r="J29">
        <v>34</v>
      </c>
      <c r="K29" t="s">
        <v>4</v>
      </c>
      <c r="L29">
        <v>5</v>
      </c>
      <c r="M29" t="s">
        <v>5</v>
      </c>
    </row>
    <row r="30" spans="1:13" x14ac:dyDescent="0.75">
      <c r="A30" t="s">
        <v>70</v>
      </c>
      <c r="B30" s="8">
        <v>45306</v>
      </c>
      <c r="C30" t="s">
        <v>28</v>
      </c>
      <c r="D30" t="s">
        <v>29</v>
      </c>
      <c r="E30" t="s">
        <v>30</v>
      </c>
      <c r="F30">
        <v>990</v>
      </c>
      <c r="G30">
        <v>20</v>
      </c>
      <c r="H30">
        <v>130</v>
      </c>
      <c r="I30">
        <v>880</v>
      </c>
      <c r="J30">
        <v>50</v>
      </c>
      <c r="K30" t="s">
        <v>4</v>
      </c>
      <c r="L30">
        <v>5</v>
      </c>
      <c r="M30" t="s">
        <v>5</v>
      </c>
    </row>
    <row r="31" spans="1:13" x14ac:dyDescent="0.75">
      <c r="A31" t="s">
        <v>71</v>
      </c>
      <c r="B31" s="8">
        <v>45598</v>
      </c>
      <c r="C31" t="s">
        <v>35</v>
      </c>
      <c r="D31" t="s">
        <v>40</v>
      </c>
      <c r="E31" t="s">
        <v>25</v>
      </c>
      <c r="F31">
        <v>400</v>
      </c>
      <c r="G31">
        <v>20</v>
      </c>
      <c r="H31">
        <v>400</v>
      </c>
      <c r="I31">
        <v>29</v>
      </c>
      <c r="J31">
        <v>47</v>
      </c>
      <c r="K31" t="s">
        <v>4</v>
      </c>
      <c r="L31">
        <v>4</v>
      </c>
      <c r="M31" t="s">
        <v>5</v>
      </c>
    </row>
    <row r="32" spans="1:13" x14ac:dyDescent="0.75">
      <c r="B32" s="8"/>
      <c r="F32">
        <f>SUM(F2:F31)</f>
        <v>20080</v>
      </c>
      <c r="I32">
        <f>SUM(I2:I31)</f>
        <v>17954</v>
      </c>
      <c r="L32">
        <f>AVERAGE(L2:L31)</f>
        <v>4.333333333333333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B0622-794C-44B0-B10D-184EE6BA3BBD}">
  <dimension ref="A1:M40"/>
  <sheetViews>
    <sheetView tabSelected="1" zoomScale="76" zoomScaleNormal="100" workbookViewId="0">
      <selection activeCell="G10" sqref="G10"/>
    </sheetView>
  </sheetViews>
  <sheetFormatPr defaultRowHeight="14.75" x14ac:dyDescent="0.75"/>
  <cols>
    <col min="1" max="1" width="12.31640625" style="7" customWidth="1"/>
    <col min="2" max="2" width="15.1328125" style="7" customWidth="1"/>
    <col min="3" max="3" width="9.90625" style="7" bestFit="1" customWidth="1"/>
    <col min="4" max="4" width="21.90625" style="7" customWidth="1"/>
    <col min="5" max="5" width="11.36328125" style="7" bestFit="1" customWidth="1"/>
    <col min="6" max="6" width="16.1328125" style="7" customWidth="1"/>
    <col min="7" max="7" width="16.5" style="7" customWidth="1"/>
    <col min="8" max="8" width="11.953125" style="7" customWidth="1"/>
    <col min="9" max="9" width="17.04296875" style="7" customWidth="1"/>
    <col min="10" max="10" width="23.36328125" style="7" customWidth="1"/>
    <col min="11" max="11" width="21.953125" style="7" customWidth="1"/>
    <col min="12" max="12" width="21" style="7" customWidth="1"/>
    <col min="13" max="13" width="16.6796875" style="7" customWidth="1"/>
  </cols>
  <sheetData>
    <row r="1" spans="1:13" s="3" customFormat="1" ht="18.5" x14ac:dyDescent="0.9">
      <c r="A1" s="4" t="s">
        <v>6</v>
      </c>
      <c r="B1" s="4" t="s">
        <v>7</v>
      </c>
      <c r="C1" s="4" t="s">
        <v>8</v>
      </c>
      <c r="D1" s="4" t="s">
        <v>9</v>
      </c>
      <c r="E1" s="4" t="s">
        <v>10</v>
      </c>
      <c r="F1" s="4" t="s">
        <v>11</v>
      </c>
      <c r="G1" s="4" t="s">
        <v>12</v>
      </c>
      <c r="H1" s="4" t="s">
        <v>13</v>
      </c>
      <c r="I1" s="4" t="s">
        <v>14</v>
      </c>
      <c r="J1" s="4" t="s">
        <v>15</v>
      </c>
      <c r="K1" s="4" t="s">
        <v>16</v>
      </c>
      <c r="L1" s="4" t="s">
        <v>17</v>
      </c>
      <c r="M1" s="4" t="s">
        <v>18</v>
      </c>
    </row>
    <row r="2" spans="1:13" x14ac:dyDescent="0.75">
      <c r="A2" s="5" t="s">
        <v>19</v>
      </c>
      <c r="B2" s="6">
        <v>45337</v>
      </c>
      <c r="C2" s="5" t="s">
        <v>1</v>
      </c>
      <c r="D2" s="5" t="s">
        <v>20</v>
      </c>
      <c r="E2" s="5" t="s">
        <v>21</v>
      </c>
      <c r="F2" s="5">
        <v>850</v>
      </c>
      <c r="G2" s="5">
        <v>0</v>
      </c>
      <c r="H2" s="5">
        <v>100</v>
      </c>
      <c r="I2" s="5">
        <v>750</v>
      </c>
      <c r="J2" s="5">
        <v>32</v>
      </c>
      <c r="K2" s="5" t="s">
        <v>4</v>
      </c>
      <c r="L2" s="5">
        <v>5</v>
      </c>
      <c r="M2" s="5" t="s">
        <v>5</v>
      </c>
    </row>
    <row r="3" spans="1:13" x14ac:dyDescent="0.75">
      <c r="A3" s="5" t="s">
        <v>22</v>
      </c>
      <c r="B3" s="6">
        <v>45434</v>
      </c>
      <c r="C3" s="5" t="s">
        <v>23</v>
      </c>
      <c r="D3" s="5" t="s">
        <v>24</v>
      </c>
      <c r="E3" s="5" t="s">
        <v>25</v>
      </c>
      <c r="F3" s="5">
        <v>450</v>
      </c>
      <c r="G3" s="5">
        <v>35</v>
      </c>
      <c r="H3" s="5">
        <v>50</v>
      </c>
      <c r="I3" s="5">
        <v>435</v>
      </c>
      <c r="J3" s="5">
        <v>28</v>
      </c>
      <c r="K3" s="5" t="s">
        <v>26</v>
      </c>
      <c r="L3" s="5">
        <v>4</v>
      </c>
      <c r="M3" s="5" t="s">
        <v>5</v>
      </c>
    </row>
    <row r="4" spans="1:13" x14ac:dyDescent="0.75">
      <c r="A4" s="5" t="s">
        <v>27</v>
      </c>
      <c r="B4" s="6">
        <v>45301</v>
      </c>
      <c r="C4" s="5" t="s">
        <v>28</v>
      </c>
      <c r="D4" s="5" t="s">
        <v>29</v>
      </c>
      <c r="E4" s="5" t="s">
        <v>30</v>
      </c>
      <c r="F4" s="5">
        <v>1100</v>
      </c>
      <c r="G4" s="5">
        <v>20</v>
      </c>
      <c r="H4" s="5">
        <v>150</v>
      </c>
      <c r="I4" s="5">
        <v>970</v>
      </c>
      <c r="J4" s="5">
        <v>41</v>
      </c>
      <c r="K4" s="5" t="s">
        <v>4</v>
      </c>
      <c r="L4" s="5">
        <v>5</v>
      </c>
      <c r="M4" s="5" t="s">
        <v>5</v>
      </c>
    </row>
    <row r="5" spans="1:13" x14ac:dyDescent="0.75">
      <c r="A5" s="5" t="s">
        <v>31</v>
      </c>
      <c r="B5" s="6">
        <v>45491</v>
      </c>
      <c r="C5" s="5" t="s">
        <v>32</v>
      </c>
      <c r="D5" s="5" t="s">
        <v>33</v>
      </c>
      <c r="E5" s="5" t="s">
        <v>21</v>
      </c>
      <c r="F5" s="5">
        <v>680</v>
      </c>
      <c r="G5" s="5">
        <v>0</v>
      </c>
      <c r="H5" s="5">
        <v>80</v>
      </c>
      <c r="I5" s="5">
        <v>600</v>
      </c>
      <c r="J5" s="5">
        <v>25</v>
      </c>
      <c r="K5" s="5" t="s">
        <v>4</v>
      </c>
      <c r="L5" s="5">
        <v>4</v>
      </c>
      <c r="M5" s="5" t="s">
        <v>5</v>
      </c>
    </row>
    <row r="6" spans="1:13" x14ac:dyDescent="0.75">
      <c r="A6" s="5" t="s">
        <v>34</v>
      </c>
      <c r="B6" s="6">
        <v>45376</v>
      </c>
      <c r="C6" s="5" t="s">
        <v>35</v>
      </c>
      <c r="D6" s="5" t="s">
        <v>36</v>
      </c>
      <c r="E6" s="5" t="s">
        <v>37</v>
      </c>
      <c r="F6" s="5">
        <v>320</v>
      </c>
      <c r="G6" s="5">
        <v>35</v>
      </c>
      <c r="H6" s="5">
        <v>0</v>
      </c>
      <c r="I6" s="5">
        <v>355</v>
      </c>
      <c r="J6" s="5">
        <v>38</v>
      </c>
      <c r="K6" s="5" t="s">
        <v>38</v>
      </c>
      <c r="L6" s="5">
        <v>3</v>
      </c>
      <c r="M6" s="5" t="s">
        <v>5</v>
      </c>
    </row>
    <row r="7" spans="1:13" x14ac:dyDescent="0.75">
      <c r="A7" s="5" t="s">
        <v>0</v>
      </c>
      <c r="B7" s="6">
        <v>45626</v>
      </c>
      <c r="C7" s="5" t="s">
        <v>1</v>
      </c>
      <c r="D7" s="5" t="s">
        <v>2</v>
      </c>
      <c r="E7" s="5" t="s">
        <v>3</v>
      </c>
      <c r="F7" s="5">
        <v>750</v>
      </c>
      <c r="G7" s="5">
        <v>0</v>
      </c>
      <c r="H7" s="5">
        <v>120</v>
      </c>
      <c r="I7" s="5">
        <v>630</v>
      </c>
      <c r="J7" s="5">
        <v>42</v>
      </c>
      <c r="K7" s="5" t="s">
        <v>4</v>
      </c>
      <c r="L7" s="5">
        <v>5</v>
      </c>
      <c r="M7" s="5" t="s">
        <v>5</v>
      </c>
    </row>
    <row r="8" spans="1:13" x14ac:dyDescent="0.75">
      <c r="A8" s="5" t="s">
        <v>39</v>
      </c>
      <c r="B8" s="6">
        <v>45394</v>
      </c>
      <c r="C8" s="5" t="s">
        <v>23</v>
      </c>
      <c r="D8" s="5" t="s">
        <v>40</v>
      </c>
      <c r="E8" s="5" t="s">
        <v>25</v>
      </c>
      <c r="F8" s="5">
        <v>290</v>
      </c>
      <c r="G8" s="5">
        <v>20</v>
      </c>
      <c r="H8" s="5">
        <v>30</v>
      </c>
      <c r="I8" s="5">
        <v>280</v>
      </c>
      <c r="J8" s="5">
        <v>35</v>
      </c>
      <c r="K8" s="5" t="s">
        <v>41</v>
      </c>
      <c r="L8" s="5">
        <v>4</v>
      </c>
      <c r="M8" s="5" t="s">
        <v>5</v>
      </c>
    </row>
    <row r="9" spans="1:13" x14ac:dyDescent="0.75">
      <c r="A9" s="5" t="s">
        <v>42</v>
      </c>
      <c r="B9" s="6">
        <v>45518</v>
      </c>
      <c r="C9" s="5" t="s">
        <v>28</v>
      </c>
      <c r="D9" s="5" t="s">
        <v>20</v>
      </c>
      <c r="E9" s="5" t="s">
        <v>43</v>
      </c>
      <c r="F9" s="5">
        <v>550</v>
      </c>
      <c r="G9" s="5">
        <v>35</v>
      </c>
      <c r="H9" s="5">
        <v>75</v>
      </c>
      <c r="I9" s="5">
        <v>510</v>
      </c>
      <c r="J9" s="5">
        <v>48</v>
      </c>
      <c r="K9" s="5" t="s">
        <v>26</v>
      </c>
      <c r="L9" s="5">
        <v>5</v>
      </c>
      <c r="M9" s="5" t="s">
        <v>5</v>
      </c>
    </row>
    <row r="10" spans="1:13" x14ac:dyDescent="0.75">
      <c r="A10" s="5" t="s">
        <v>44</v>
      </c>
      <c r="B10" s="6">
        <v>45540</v>
      </c>
      <c r="C10" s="5" t="s">
        <v>45</v>
      </c>
      <c r="D10" s="5" t="s">
        <v>29</v>
      </c>
      <c r="E10" s="5" t="s">
        <v>46</v>
      </c>
      <c r="F10" s="5">
        <v>420</v>
      </c>
      <c r="G10" s="5">
        <v>50</v>
      </c>
      <c r="H10" s="5">
        <v>0</v>
      </c>
      <c r="I10" s="5">
        <v>470</v>
      </c>
      <c r="J10" s="5">
        <v>55</v>
      </c>
      <c r="K10" s="5" t="s">
        <v>47</v>
      </c>
      <c r="L10" s="5">
        <v>4</v>
      </c>
      <c r="M10" s="5" t="s">
        <v>5</v>
      </c>
    </row>
    <row r="11" spans="1:13" x14ac:dyDescent="0.75">
      <c r="A11" s="5" t="s">
        <v>48</v>
      </c>
      <c r="B11" s="6">
        <v>45463</v>
      </c>
      <c r="C11" s="5" t="s">
        <v>49</v>
      </c>
      <c r="D11" s="5" t="s">
        <v>36</v>
      </c>
      <c r="E11" s="5" t="s">
        <v>50</v>
      </c>
      <c r="F11" s="5">
        <v>890</v>
      </c>
      <c r="G11" s="5">
        <v>0</v>
      </c>
      <c r="H11" s="5">
        <v>100</v>
      </c>
      <c r="I11" s="5">
        <v>790</v>
      </c>
      <c r="J11" s="5">
        <v>30</v>
      </c>
      <c r="K11" s="5" t="s">
        <v>4</v>
      </c>
      <c r="L11" s="5">
        <v>5</v>
      </c>
      <c r="M11" s="5" t="s">
        <v>5</v>
      </c>
    </row>
    <row r="12" spans="1:13" x14ac:dyDescent="0.75">
      <c r="A12" s="5" t="s">
        <v>51</v>
      </c>
      <c r="B12" s="6">
        <v>45636</v>
      </c>
      <c r="C12" s="5" t="s">
        <v>1</v>
      </c>
      <c r="D12" s="5" t="s">
        <v>24</v>
      </c>
      <c r="E12" s="5" t="s">
        <v>3</v>
      </c>
      <c r="F12" s="5">
        <v>1150</v>
      </c>
      <c r="G12" s="5">
        <v>0</v>
      </c>
      <c r="H12" s="5">
        <v>200</v>
      </c>
      <c r="I12" s="5">
        <v>950</v>
      </c>
      <c r="J12" s="5">
        <v>39</v>
      </c>
      <c r="K12" s="5" t="s">
        <v>4</v>
      </c>
      <c r="L12" s="5">
        <v>5</v>
      </c>
      <c r="M12" s="5" t="s">
        <v>52</v>
      </c>
    </row>
    <row r="13" spans="1:13" x14ac:dyDescent="0.75">
      <c r="A13" s="5" t="s">
        <v>53</v>
      </c>
      <c r="B13" s="6">
        <v>45350</v>
      </c>
      <c r="C13" s="5" t="s">
        <v>23</v>
      </c>
      <c r="D13" s="5" t="s">
        <v>33</v>
      </c>
      <c r="E13" s="5" t="s">
        <v>21</v>
      </c>
      <c r="F13" s="5">
        <v>670</v>
      </c>
      <c r="G13" s="5">
        <v>20</v>
      </c>
      <c r="H13" s="5">
        <v>50</v>
      </c>
      <c r="I13" s="5">
        <v>640</v>
      </c>
      <c r="J13" s="5">
        <v>44</v>
      </c>
      <c r="K13" s="5" t="s">
        <v>26</v>
      </c>
      <c r="L13" s="5">
        <v>4</v>
      </c>
      <c r="M13" s="5" t="s">
        <v>5</v>
      </c>
    </row>
    <row r="14" spans="1:13" x14ac:dyDescent="0.75">
      <c r="A14" s="5" t="s">
        <v>54</v>
      </c>
      <c r="B14" s="6">
        <v>45580</v>
      </c>
      <c r="C14" s="5" t="s">
        <v>32</v>
      </c>
      <c r="D14" s="5" t="s">
        <v>20</v>
      </c>
      <c r="E14" s="5" t="s">
        <v>30</v>
      </c>
      <c r="F14" s="5">
        <v>980</v>
      </c>
      <c r="G14" s="5">
        <v>35</v>
      </c>
      <c r="H14" s="5">
        <v>120</v>
      </c>
      <c r="I14" s="5">
        <v>895</v>
      </c>
      <c r="J14" s="5">
        <v>51</v>
      </c>
      <c r="K14" s="5" t="s">
        <v>38</v>
      </c>
      <c r="L14" s="5">
        <v>5</v>
      </c>
      <c r="M14" s="5" t="s">
        <v>5</v>
      </c>
    </row>
    <row r="15" spans="1:13" x14ac:dyDescent="0.75">
      <c r="A15" s="5" t="s">
        <v>55</v>
      </c>
      <c r="B15" s="6">
        <v>45313</v>
      </c>
      <c r="C15" s="5" t="s">
        <v>35</v>
      </c>
      <c r="D15" s="5" t="s">
        <v>2</v>
      </c>
      <c r="E15" s="5" t="s">
        <v>37</v>
      </c>
      <c r="F15" s="5">
        <v>360</v>
      </c>
      <c r="G15" s="5">
        <v>0</v>
      </c>
      <c r="H15" s="5">
        <v>20</v>
      </c>
      <c r="I15" s="5">
        <v>340</v>
      </c>
      <c r="J15" s="5">
        <v>29</v>
      </c>
      <c r="K15" s="5" t="s">
        <v>4</v>
      </c>
      <c r="L15" s="5">
        <v>3</v>
      </c>
      <c r="M15" s="5" t="s">
        <v>5</v>
      </c>
    </row>
    <row r="16" spans="1:13" x14ac:dyDescent="0.75">
      <c r="A16" s="5" t="s">
        <v>56</v>
      </c>
      <c r="B16" s="6">
        <v>45414</v>
      </c>
      <c r="C16" s="5" t="s">
        <v>28</v>
      </c>
      <c r="D16" s="5" t="s">
        <v>40</v>
      </c>
      <c r="E16" s="5" t="s">
        <v>25</v>
      </c>
      <c r="F16" s="5">
        <v>410</v>
      </c>
      <c r="G16" s="5">
        <v>20</v>
      </c>
      <c r="H16" s="5">
        <v>0</v>
      </c>
      <c r="I16" s="5">
        <v>430</v>
      </c>
      <c r="J16" s="5">
        <v>33</v>
      </c>
      <c r="K16" s="5" t="s">
        <v>41</v>
      </c>
      <c r="L16" s="5">
        <v>4</v>
      </c>
      <c r="M16" s="5" t="s">
        <v>5</v>
      </c>
    </row>
    <row r="17" spans="1:13" x14ac:dyDescent="0.75">
      <c r="A17" s="5" t="s">
        <v>57</v>
      </c>
      <c r="B17" s="6">
        <v>45482</v>
      </c>
      <c r="C17" s="5" t="s">
        <v>1</v>
      </c>
      <c r="D17" s="5" t="s">
        <v>29</v>
      </c>
      <c r="E17" s="5" t="s">
        <v>46</v>
      </c>
      <c r="F17" s="5">
        <v>520</v>
      </c>
      <c r="G17" s="5">
        <v>0</v>
      </c>
      <c r="H17" s="5">
        <v>80</v>
      </c>
      <c r="I17" s="5">
        <v>440</v>
      </c>
      <c r="J17" s="5">
        <v>46</v>
      </c>
      <c r="K17" s="5" t="s">
        <v>4</v>
      </c>
      <c r="L17" s="5">
        <v>5</v>
      </c>
      <c r="M17" s="5" t="s">
        <v>5</v>
      </c>
    </row>
    <row r="18" spans="1:13" x14ac:dyDescent="0.75">
      <c r="A18" s="5" t="s">
        <v>58</v>
      </c>
      <c r="B18" s="6">
        <v>45369</v>
      </c>
      <c r="C18" s="5" t="s">
        <v>23</v>
      </c>
      <c r="D18" s="5" t="s">
        <v>36</v>
      </c>
      <c r="E18" s="5" t="s">
        <v>43</v>
      </c>
      <c r="F18" s="5">
        <v>780</v>
      </c>
      <c r="G18" s="5">
        <v>35</v>
      </c>
      <c r="H18" s="5">
        <v>90</v>
      </c>
      <c r="I18" s="5">
        <v>725</v>
      </c>
      <c r="J18" s="5">
        <v>37</v>
      </c>
      <c r="K18" s="5" t="s">
        <v>26</v>
      </c>
      <c r="L18" s="5">
        <v>4</v>
      </c>
      <c r="M18" s="5" t="s">
        <v>5</v>
      </c>
    </row>
    <row r="19" spans="1:13" x14ac:dyDescent="0.75">
      <c r="A19" s="5" t="s">
        <v>59</v>
      </c>
      <c r="B19" s="6">
        <v>45607</v>
      </c>
      <c r="C19" s="5" t="s">
        <v>28</v>
      </c>
      <c r="D19" s="5" t="s">
        <v>24</v>
      </c>
      <c r="E19" s="5" t="s">
        <v>50</v>
      </c>
      <c r="F19" s="5">
        <v>650</v>
      </c>
      <c r="G19" s="5">
        <v>20</v>
      </c>
      <c r="H19" s="5">
        <v>60</v>
      </c>
      <c r="I19" s="5">
        <v>610</v>
      </c>
      <c r="J19" s="5">
        <v>40</v>
      </c>
      <c r="K19" s="5" t="s">
        <v>38</v>
      </c>
      <c r="L19" s="5">
        <v>5</v>
      </c>
      <c r="M19" s="5" t="s">
        <v>5</v>
      </c>
    </row>
    <row r="20" spans="1:13" x14ac:dyDescent="0.75">
      <c r="A20" s="5" t="s">
        <v>60</v>
      </c>
      <c r="B20" s="6">
        <v>45412</v>
      </c>
      <c r="C20" s="5" t="s">
        <v>32</v>
      </c>
      <c r="D20" s="5" t="s">
        <v>2</v>
      </c>
      <c r="E20" s="5" t="s">
        <v>3</v>
      </c>
      <c r="F20" s="5">
        <v>820</v>
      </c>
      <c r="G20" s="5">
        <v>0</v>
      </c>
      <c r="H20" s="5">
        <v>150</v>
      </c>
      <c r="I20" s="5">
        <v>670</v>
      </c>
      <c r="J20" s="5">
        <v>45</v>
      </c>
      <c r="K20" s="5" t="s">
        <v>4</v>
      </c>
      <c r="L20" s="5">
        <v>2</v>
      </c>
      <c r="M20" s="5" t="s">
        <v>5</v>
      </c>
    </row>
    <row r="21" spans="1:13" x14ac:dyDescent="0.75">
      <c r="A21" s="5" t="s">
        <v>61</v>
      </c>
      <c r="B21" s="6">
        <v>45526</v>
      </c>
      <c r="C21" s="5" t="s">
        <v>1</v>
      </c>
      <c r="D21" s="5" t="s">
        <v>33</v>
      </c>
      <c r="E21" s="5" t="s">
        <v>21</v>
      </c>
      <c r="F21" s="5">
        <v>920</v>
      </c>
      <c r="G21" s="5">
        <v>0</v>
      </c>
      <c r="H21" s="5">
        <v>100</v>
      </c>
      <c r="I21" s="5">
        <v>820</v>
      </c>
      <c r="J21" s="5">
        <v>31</v>
      </c>
      <c r="K21" s="5" t="s">
        <v>4</v>
      </c>
      <c r="L21" s="5">
        <v>5</v>
      </c>
      <c r="M21" s="5" t="s">
        <v>5</v>
      </c>
    </row>
    <row r="22" spans="1:13" x14ac:dyDescent="0.75">
      <c r="A22" s="5" t="s">
        <v>62</v>
      </c>
      <c r="B22" s="6">
        <v>45563</v>
      </c>
      <c r="C22" s="5" t="s">
        <v>23</v>
      </c>
      <c r="D22" s="5" t="s">
        <v>20</v>
      </c>
      <c r="E22" s="5" t="s">
        <v>30</v>
      </c>
      <c r="F22" s="5">
        <v>1050</v>
      </c>
      <c r="G22" s="5">
        <v>35</v>
      </c>
      <c r="H22" s="5">
        <v>180</v>
      </c>
      <c r="I22" s="5">
        <v>905</v>
      </c>
      <c r="J22" s="5">
        <v>58</v>
      </c>
      <c r="K22" s="5" t="s">
        <v>26</v>
      </c>
      <c r="L22" s="5">
        <v>4</v>
      </c>
      <c r="M22" s="5" t="s">
        <v>5</v>
      </c>
    </row>
    <row r="23" spans="1:13" x14ac:dyDescent="0.75">
      <c r="A23" s="5" t="s">
        <v>63</v>
      </c>
      <c r="B23" s="6">
        <v>45458</v>
      </c>
      <c r="C23" s="5" t="s">
        <v>35</v>
      </c>
      <c r="D23" s="5" t="s">
        <v>29</v>
      </c>
      <c r="E23" s="5" t="s">
        <v>37</v>
      </c>
      <c r="F23" s="5">
        <v>480</v>
      </c>
      <c r="G23" s="5">
        <v>20</v>
      </c>
      <c r="H23" s="5">
        <v>40</v>
      </c>
      <c r="I23" s="5">
        <v>460</v>
      </c>
      <c r="J23" s="5">
        <v>27</v>
      </c>
      <c r="K23" s="5" t="s">
        <v>38</v>
      </c>
      <c r="L23" s="5">
        <v>3</v>
      </c>
      <c r="M23" s="5" t="s">
        <v>5</v>
      </c>
    </row>
    <row r="24" spans="1:13" x14ac:dyDescent="0.75">
      <c r="A24" s="5" t="s">
        <v>64</v>
      </c>
      <c r="B24" s="6">
        <v>45651</v>
      </c>
      <c r="C24" s="5" t="s">
        <v>28</v>
      </c>
      <c r="D24" s="5" t="s">
        <v>40</v>
      </c>
      <c r="E24" s="5" t="s">
        <v>25</v>
      </c>
      <c r="F24" s="5">
        <v>350</v>
      </c>
      <c r="G24" s="5">
        <v>0</v>
      </c>
      <c r="H24" s="5">
        <v>0</v>
      </c>
      <c r="I24" s="5">
        <v>350</v>
      </c>
      <c r="J24" s="5">
        <v>26</v>
      </c>
      <c r="K24" s="5" t="s">
        <v>4</v>
      </c>
      <c r="L24" s="5">
        <v>5</v>
      </c>
      <c r="M24" s="5" t="s">
        <v>5</v>
      </c>
    </row>
    <row r="25" spans="1:13" x14ac:dyDescent="0.75">
      <c r="A25" s="5" t="s">
        <v>65</v>
      </c>
      <c r="B25" s="6">
        <v>45332</v>
      </c>
      <c r="C25" s="5" t="s">
        <v>45</v>
      </c>
      <c r="D25" s="5" t="s">
        <v>2</v>
      </c>
      <c r="E25" s="5" t="s">
        <v>3</v>
      </c>
      <c r="F25" s="5">
        <v>690</v>
      </c>
      <c r="G25" s="5">
        <v>35</v>
      </c>
      <c r="H25" s="5">
        <v>70</v>
      </c>
      <c r="I25" s="5">
        <v>655</v>
      </c>
      <c r="J25" s="5">
        <v>62</v>
      </c>
      <c r="K25" s="5" t="s">
        <v>41</v>
      </c>
      <c r="L25" s="5">
        <v>4</v>
      </c>
      <c r="M25" s="5" t="s">
        <v>5</v>
      </c>
    </row>
    <row r="26" spans="1:13" x14ac:dyDescent="0.75">
      <c r="A26" s="5" t="s">
        <v>66</v>
      </c>
      <c r="B26" s="6">
        <v>45585</v>
      </c>
      <c r="C26" s="5" t="s">
        <v>1</v>
      </c>
      <c r="D26" s="5" t="s">
        <v>36</v>
      </c>
      <c r="E26" s="5" t="s">
        <v>46</v>
      </c>
      <c r="F26" s="5">
        <v>380</v>
      </c>
      <c r="G26" s="5">
        <v>20</v>
      </c>
      <c r="H26" s="5">
        <v>30</v>
      </c>
      <c r="I26" s="5">
        <v>370</v>
      </c>
      <c r="J26" s="5">
        <v>36</v>
      </c>
      <c r="K26" s="5" t="s">
        <v>4</v>
      </c>
      <c r="L26" s="5">
        <v>5</v>
      </c>
      <c r="M26" s="5" t="s">
        <v>5</v>
      </c>
    </row>
    <row r="27" spans="1:13" x14ac:dyDescent="0.75">
      <c r="A27" s="5" t="s">
        <v>67</v>
      </c>
      <c r="B27" s="6">
        <v>45428</v>
      </c>
      <c r="C27" s="5" t="s">
        <v>49</v>
      </c>
      <c r="D27" s="5" t="s">
        <v>24</v>
      </c>
      <c r="E27" s="5" t="s">
        <v>43</v>
      </c>
      <c r="F27" s="5">
        <v>710</v>
      </c>
      <c r="G27" s="5">
        <v>0</v>
      </c>
      <c r="H27" s="5">
        <v>50</v>
      </c>
      <c r="I27" s="5">
        <v>660</v>
      </c>
      <c r="J27" s="5">
        <v>43</v>
      </c>
      <c r="K27" s="5" t="s">
        <v>26</v>
      </c>
      <c r="L27" s="5">
        <v>5</v>
      </c>
      <c r="M27" s="5" t="s">
        <v>5</v>
      </c>
    </row>
    <row r="28" spans="1:13" x14ac:dyDescent="0.75">
      <c r="A28" s="5" t="s">
        <v>68</v>
      </c>
      <c r="B28" s="6">
        <v>45353</v>
      </c>
      <c r="C28" s="5" t="s">
        <v>23</v>
      </c>
      <c r="D28" s="5" t="s">
        <v>33</v>
      </c>
      <c r="E28" s="5" t="s">
        <v>50</v>
      </c>
      <c r="F28" s="5">
        <v>590</v>
      </c>
      <c r="G28" s="5">
        <v>35</v>
      </c>
      <c r="H28" s="5">
        <v>60</v>
      </c>
      <c r="I28" s="5">
        <v>565</v>
      </c>
      <c r="J28" s="5">
        <v>49</v>
      </c>
      <c r="K28" s="5" t="s">
        <v>47</v>
      </c>
      <c r="L28" s="5">
        <v>4</v>
      </c>
      <c r="M28" s="5" t="s">
        <v>5</v>
      </c>
    </row>
    <row r="29" spans="1:13" x14ac:dyDescent="0.75">
      <c r="A29" s="5" t="s">
        <v>69</v>
      </c>
      <c r="B29" s="6">
        <v>45500</v>
      </c>
      <c r="C29" s="5" t="s">
        <v>32</v>
      </c>
      <c r="D29" s="5" t="s">
        <v>20</v>
      </c>
      <c r="E29" s="5" t="s">
        <v>21</v>
      </c>
      <c r="F29" s="5">
        <v>880</v>
      </c>
      <c r="G29" s="5">
        <v>0</v>
      </c>
      <c r="H29" s="5">
        <v>110</v>
      </c>
      <c r="I29" s="5">
        <v>770</v>
      </c>
      <c r="J29" s="5">
        <v>34</v>
      </c>
      <c r="K29" s="5" t="s">
        <v>4</v>
      </c>
      <c r="L29" s="5">
        <v>5</v>
      </c>
      <c r="M29" s="5" t="s">
        <v>5</v>
      </c>
    </row>
    <row r="30" spans="1:13" x14ac:dyDescent="0.75">
      <c r="A30" s="5" t="s">
        <v>70</v>
      </c>
      <c r="B30" s="6">
        <v>45306</v>
      </c>
      <c r="C30" s="5" t="s">
        <v>28</v>
      </c>
      <c r="D30" s="5" t="s">
        <v>29</v>
      </c>
      <c r="E30" s="5" t="s">
        <v>30</v>
      </c>
      <c r="F30" s="5">
        <v>990</v>
      </c>
      <c r="G30" s="5">
        <v>20</v>
      </c>
      <c r="H30" s="5">
        <v>130</v>
      </c>
      <c r="I30" s="5">
        <v>880</v>
      </c>
      <c r="J30" s="5">
        <v>50</v>
      </c>
      <c r="K30" s="5" t="s">
        <v>4</v>
      </c>
      <c r="L30" s="5">
        <v>5</v>
      </c>
      <c r="M30" s="5" t="s">
        <v>5</v>
      </c>
    </row>
    <row r="31" spans="1:13" x14ac:dyDescent="0.75">
      <c r="A31" s="5" t="s">
        <v>71</v>
      </c>
      <c r="B31" s="6">
        <v>45598</v>
      </c>
      <c r="C31" s="5" t="s">
        <v>35</v>
      </c>
      <c r="D31" s="5" t="s">
        <v>40</v>
      </c>
      <c r="E31" s="5" t="s">
        <v>25</v>
      </c>
      <c r="F31" s="5">
        <v>400</v>
      </c>
      <c r="G31" s="5">
        <v>20</v>
      </c>
      <c r="H31" s="5">
        <v>400</v>
      </c>
      <c r="I31" s="5">
        <v>29</v>
      </c>
      <c r="J31" s="5">
        <v>47</v>
      </c>
      <c r="K31" s="5" t="s">
        <v>4</v>
      </c>
      <c r="L31" s="5">
        <v>4</v>
      </c>
      <c r="M31" s="5" t="s">
        <v>5</v>
      </c>
    </row>
    <row r="34" spans="3:4" x14ac:dyDescent="0.75">
      <c r="D34" s="1"/>
    </row>
    <row r="35" spans="3:4" x14ac:dyDescent="0.75">
      <c r="D35" s="1"/>
    </row>
    <row r="40" spans="3:4" x14ac:dyDescent="0.75">
      <c r="C40" s="2"/>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0EBEC3E-43C5-4739-A9D4-44AC3DC5C74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DASHBOARDS</vt:lpstr>
      <vt:lpstr>Cleaned_Data</vt:lpstr>
      <vt:lpstr>RawData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 prajapati</dc:creator>
  <cp:lastModifiedBy>suraj prajapati</cp:lastModifiedBy>
  <dcterms:created xsi:type="dcterms:W3CDTF">2026-09-13T06:11:06Z</dcterms:created>
  <dcterms:modified xsi:type="dcterms:W3CDTF">2026-09-14T14:35:10Z</dcterms:modified>
</cp:coreProperties>
</file>