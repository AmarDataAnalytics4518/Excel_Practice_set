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ar\Downloads\Telegram Desktop\"/>
    </mc:Choice>
  </mc:AlternateContent>
  <xr:revisionPtr revIDLastSave="0" documentId="8_{B8B3AAD9-D7E4-4B58-9FC6-090F38D6F3C4}" xr6:coauthVersionLast="47" xr6:coauthVersionMax="47" xr10:uidLastSave="{00000000-0000-0000-0000-000000000000}"/>
  <bookViews>
    <workbookView xWindow="1740" yWindow="240" windowWidth="18324" windowHeight="12000" xr2:uid="{A9AE3ADD-86EE-41DD-8EAB-5D4A3449A71D}"/>
  </bookViews>
  <sheets>
    <sheet name="XLOOKUP" sheetId="1" r:id="rId1"/>
  </sheets>
  <externalReferences>
    <externalReference r:id="rId2"/>
    <externalReference r:id="rId3"/>
  </externalReferences>
  <definedNames>
    <definedName name="B">'[1]Scenario manager'!#REF!</definedName>
    <definedName name="button">'[2]Scenario manager'!#REF!</definedName>
    <definedName name="GRADES">'[2]Data for dropdown'!$F$4:$F$10</definedName>
    <definedName name="NativeTimeline_Date">#REF!</definedName>
    <definedName name="Sale_Values">[1]Sheet6!$C$20:$C$30</definedName>
    <definedName name="Sales">#REF!</definedName>
    <definedName name="Sceen">'[2]Scenario manager'!#REF!</definedName>
    <definedName name="Slicer_Products">#REF!</definedName>
    <definedName name="Slicer_Region">#REF!</definedName>
    <definedName name="Total">'[2]Data Table'!#REF!</definedName>
    <definedName name="Type_of_data">'[2]Dependent dropdown'!#REF!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H47" i="1"/>
  <c r="I47" i="1"/>
  <c r="H48" i="1"/>
  <c r="I48" i="1"/>
  <c r="H49" i="1"/>
  <c r="I49" i="1"/>
  <c r="H50" i="1"/>
  <c r="I50" i="1"/>
  <c r="H51" i="1"/>
  <c r="I51" i="1"/>
  <c r="H52" i="1"/>
  <c r="I52" i="1"/>
  <c r="H56" i="1" a="1"/>
  <c r="H56" i="1"/>
  <c r="H57" i="1" a="1"/>
  <c r="H57" i="1"/>
  <c r="H58" i="1" a="1"/>
  <c r="H58" i="1"/>
  <c r="H59" i="1" a="1"/>
  <c r="H59" i="1" s="1"/>
  <c r="H60" i="1" a="1"/>
  <c r="H60" i="1" s="1"/>
  <c r="H61" i="1" a="1"/>
  <c r="H61" i="1" s="1"/>
  <c r="I69" i="1" a="1"/>
  <c r="I69" i="1"/>
  <c r="I70" i="1" a="1"/>
  <c r="I70" i="1"/>
  <c r="I71" i="1" a="1"/>
  <c r="I71" i="1"/>
  <c r="I72" i="1" a="1"/>
  <c r="I72" i="1"/>
  <c r="I73" i="1" a="1"/>
  <c r="I73" i="1"/>
  <c r="I74" i="1" a="1"/>
  <c r="I74" i="1"/>
  <c r="I75" i="1" a="1"/>
  <c r="I7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<sst xmlns="http://schemas.openxmlformats.org/spreadsheetml/2006/main" count="204" uniqueCount="39">
  <si>
    <t>Smartwatch</t>
  </si>
  <si>
    <t>Shaving cream</t>
  </si>
  <si>
    <t>Mobile</t>
  </si>
  <si>
    <t>Jackets</t>
  </si>
  <si>
    <t>Footwear</t>
  </si>
  <si>
    <t>Earbuds</t>
  </si>
  <si>
    <t>Deodarant for women</t>
  </si>
  <si>
    <t>Deodarant for men</t>
  </si>
  <si>
    <t>Beard trimmer</t>
  </si>
  <si>
    <t>Bass Headphones</t>
  </si>
  <si>
    <t>Items</t>
  </si>
  <si>
    <t>2-D data</t>
  </si>
  <si>
    <t>Prices</t>
  </si>
  <si>
    <t>Lookup Value - 2</t>
  </si>
  <si>
    <t>Lookup Value - 1</t>
  </si>
  <si>
    <t>Year wise prices</t>
  </si>
  <si>
    <t>Shaving</t>
  </si>
  <si>
    <t>Shaving brush</t>
  </si>
  <si>
    <t>Deodarant</t>
  </si>
  <si>
    <t>Women's deodarant</t>
  </si>
  <si>
    <t>Men's deodarant</t>
  </si>
  <si>
    <t>North</t>
  </si>
  <si>
    <t>Wrist watch</t>
  </si>
  <si>
    <t>East</t>
  </si>
  <si>
    <t>West</t>
  </si>
  <si>
    <t>Wildcard</t>
  </si>
  <si>
    <t>Price</t>
  </si>
  <si>
    <t>Region</t>
  </si>
  <si>
    <t>Date</t>
  </si>
  <si>
    <t>South</t>
  </si>
  <si>
    <t>Women's Deodarant</t>
  </si>
  <si>
    <t>Men's Deodarant</t>
  </si>
  <si>
    <t>Right to Left</t>
  </si>
  <si>
    <t>Hair spray</t>
  </si>
  <si>
    <t>Perfume</t>
  </si>
  <si>
    <t>Horizontally arranged data</t>
  </si>
  <si>
    <t>Lookup values</t>
  </si>
  <si>
    <t>Bottom to top</t>
  </si>
  <si>
    <t>Vertically arranged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</si>
</sst>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Book Antiqua"/>
      <family val="1"/>
    </font>
    <font>
      <sz val="14"/>
      <color rgb="FF0C0C0C"/>
      <name val="Book Antiqua"/>
      <family val="1"/>
    </font>
    <font>
      <b/>
      <sz val="14"/>
      <color theme="1"/>
      <name val="Book Antiqua"/>
      <family val="1"/>
    </font>
    <font>
      <b/>
      <u/>
      <sz val="26"/>
      <color theme="1"/>
      <name val="Book Antiqua"/>
      <family val="1"/>
    </font>
    <font>
      <b/>
      <u/>
      <sz val="16"/>
      <color rgb="FF0C0C0C"/>
      <name val="Book Antiqua"/>
      <family val="1"/>
    </font>
    <font>
      <b/>
      <u/>
      <sz val="16"/>
      <color theme="0"/>
      <name val="Book Antiqua"/>
      <family val="1"/>
    </font>
    <font>
      <b/>
      <u/>
      <sz val="16"/>
      <color theme="1"/>
      <name val="Book Antiqua"/>
      <family val="1"/>
    </font>
    <font>
      <u/>
      <sz val="16"/>
      <name val="Book Antiqua"/>
      <family val="1"/>
    </font>
    <font>
      <b/>
      <u/>
      <sz val="24"/>
      <color theme="1"/>
      <name val="Book Antiqua"/>
      <family val="1"/>
    </font>
    <font>
      <b/>
      <sz val="15"/>
      <color theme="1"/>
      <name val="Book Antiqua"/>
      <family val="1"/>
    </font>
    <font>
      <sz val="15"/>
      <color theme="1"/>
      <name val="Book Antiqua"/>
      <family val="1"/>
    </font>
    <font>
      <b/>
      <sz val="14"/>
      <color rgb="FF0C0C0C"/>
      <name val="Book Antiqua"/>
      <family val="1"/>
    </font>
    <font>
      <b/>
      <u/>
      <sz val="20"/>
      <color theme="1"/>
      <name val="Book Antiqua"/>
      <family val="1"/>
    </font>
    <font>
      <b/>
      <u/>
      <sz val="14"/>
      <color theme="1"/>
      <name val="Book Antiqua"/>
      <family val="1"/>
    </font>
    <font>
      <b/>
      <sz val="14"/>
      <color theme="0"/>
      <name val="Book Antiqua"/>
      <family val="1"/>
    </font>
    <font>
      <b/>
      <sz val="28"/>
      <color theme="1"/>
      <name val="Book Antiqua"/>
      <family val="1"/>
    </font>
    <font>
      <u/>
      <sz val="14"/>
      <color theme="1"/>
      <name val="Book Antiqua"/>
      <family val="1"/>
    </font>
    <font>
      <b/>
      <i/>
      <u/>
      <sz val="16"/>
      <color theme="1"/>
      <name val="Book Antiqua"/>
      <family val="1"/>
    </font>
  </fonts>
  <fills count="1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FFF00"/>
        <bgColor indexed="64"/>
      </patternFill>
    </fill>
    <fill>
      <patternFill patternType="solid">
        <fgColor rgb="FF333F4F"/>
        <bgColor rgb="FF333F4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BE4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2F5496"/>
        <bgColor rgb="FF2F5496"/>
      </patternFill>
    </fill>
    <fill>
      <patternFill patternType="solid">
        <fgColor theme="5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/>
    <xf numFmtId="0" fontId="2" fillId="0" borderId="0" xfId="1" applyFont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164" fontId="2" fillId="0" borderId="4" xfId="1" applyNumberFormat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8" fillId="5" borderId="4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2" fillId="6" borderId="0" xfId="1" applyFont="1" applyFill="1" applyAlignment="1">
      <alignment horizontal="center" vertical="center" wrapText="1"/>
    </xf>
    <xf numFmtId="164" fontId="3" fillId="7" borderId="0" xfId="1" applyNumberFormat="1" applyFont="1" applyFill="1" applyAlignment="1">
      <alignment horizontal="center" vertical="center" wrapText="1"/>
    </xf>
    <xf numFmtId="14" fontId="3" fillId="7" borderId="0" xfId="1" applyNumberFormat="1" applyFont="1" applyFill="1" applyAlignment="1">
      <alignment horizontal="center" vertical="center" wrapText="1"/>
    </xf>
    <xf numFmtId="0" fontId="3" fillId="7" borderId="0" xfId="1" applyFont="1" applyFill="1" applyAlignment="1">
      <alignment horizontal="center" vertical="center" wrapText="1"/>
    </xf>
    <xf numFmtId="2" fontId="2" fillId="0" borderId="3" xfId="1" applyNumberFormat="1" applyFont="1" applyBorder="1" applyAlignment="1">
      <alignment horizontal="center" vertical="center" wrapText="1"/>
    </xf>
    <xf numFmtId="14" fontId="2" fillId="0" borderId="3" xfId="1" applyNumberFormat="1" applyFont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 vertical="center" wrapText="1"/>
    </xf>
    <xf numFmtId="14" fontId="3" fillId="2" borderId="7" xfId="1" applyNumberFormat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14" fontId="3" fillId="2" borderId="5" xfId="1" applyNumberFormat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14" fontId="3" fillId="2" borderId="1" xfId="1" applyNumberFormat="1" applyFont="1" applyFill="1" applyBorder="1" applyAlignment="1">
      <alignment horizontal="center" vertical="center" wrapText="1"/>
    </xf>
    <xf numFmtId="0" fontId="13" fillId="2" borderId="2" xfId="1" applyFont="1" applyFill="1" applyBorder="1" applyAlignment="1">
      <alignment horizontal="center" vertical="center" wrapText="1"/>
    </xf>
    <xf numFmtId="0" fontId="8" fillId="8" borderId="3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164" fontId="3" fillId="2" borderId="4" xfId="1" applyNumberFormat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 wrapText="1"/>
    </xf>
    <xf numFmtId="0" fontId="15" fillId="9" borderId="3" xfId="1" applyFont="1" applyFill="1" applyBorder="1" applyAlignment="1">
      <alignment horizontal="center" vertical="center" wrapText="1"/>
    </xf>
    <xf numFmtId="0" fontId="16" fillId="10" borderId="3" xfId="1" applyFont="1" applyFill="1" applyBorder="1" applyAlignment="1">
      <alignment horizontal="center" vertical="center" wrapText="1"/>
    </xf>
    <xf numFmtId="0" fontId="8" fillId="11" borderId="3" xfId="1" applyFont="1" applyFill="1" applyBorder="1" applyAlignment="1">
      <alignment horizontal="center" vertical="center" wrapText="1"/>
    </xf>
    <xf numFmtId="164" fontId="3" fillId="2" borderId="5" xfId="1" applyNumberFormat="1" applyFont="1" applyFill="1" applyBorder="1" applyAlignment="1">
      <alignment horizontal="center" vertical="center" wrapText="1"/>
    </xf>
    <xf numFmtId="0" fontId="7" fillId="12" borderId="5" xfId="1" applyFont="1" applyFill="1" applyBorder="1" applyAlignment="1">
      <alignment horizontal="center" vertical="center" wrapText="1"/>
    </xf>
    <xf numFmtId="0" fontId="7" fillId="12" borderId="1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2" fontId="3" fillId="2" borderId="3" xfId="1" applyNumberFormat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14" fontId="3" fillId="2" borderId="13" xfId="1" applyNumberFormat="1" applyFont="1" applyFill="1" applyBorder="1" applyAlignment="1">
      <alignment horizontal="center" vertical="center" wrapText="1"/>
    </xf>
    <xf numFmtId="164" fontId="2" fillId="0" borderId="14" xfId="1" applyNumberFormat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2" fontId="3" fillId="2" borderId="5" xfId="1" applyNumberFormat="1" applyFont="1" applyFill="1" applyBorder="1" applyAlignment="1">
      <alignment horizontal="center" vertical="center" wrapText="1"/>
    </xf>
    <xf numFmtId="14" fontId="3" fillId="2" borderId="9" xfId="1" applyNumberFormat="1" applyFont="1" applyFill="1" applyBorder="1" applyAlignment="1">
      <alignment horizontal="center" vertical="center" wrapText="1"/>
    </xf>
    <xf numFmtId="2" fontId="2" fillId="0" borderId="1" xfId="1" applyNumberFormat="1" applyFont="1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 wrapText="1"/>
    </xf>
    <xf numFmtId="0" fontId="2" fillId="8" borderId="3" xfId="1" applyFont="1" applyFill="1" applyBorder="1" applyAlignment="1">
      <alignment horizontal="center" vertical="center" wrapText="1"/>
    </xf>
    <xf numFmtId="2" fontId="3" fillId="2" borderId="1" xfId="1" applyNumberFormat="1" applyFont="1" applyFill="1" applyBorder="1" applyAlignment="1">
      <alignment horizontal="center" vertical="center" wrapText="1"/>
    </xf>
    <xf numFmtId="14" fontId="3" fillId="2" borderId="2" xfId="1" applyNumberFormat="1" applyFont="1" applyFill="1" applyBorder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2" fontId="3" fillId="2" borderId="4" xfId="1" applyNumberFormat="1" applyFont="1" applyFill="1" applyBorder="1" applyAlignment="1">
      <alignment horizontal="center" vertical="center" wrapText="1"/>
    </xf>
    <xf numFmtId="0" fontId="15" fillId="6" borderId="3" xfId="1" applyFont="1" applyFill="1" applyBorder="1" applyAlignment="1">
      <alignment horizontal="center" vertical="center" wrapText="1"/>
    </xf>
    <xf numFmtId="0" fontId="2" fillId="8" borderId="9" xfId="1" applyFont="1" applyFill="1" applyBorder="1" applyAlignment="1">
      <alignment horizontal="center" vertical="center" wrapText="1"/>
    </xf>
    <xf numFmtId="0" fontId="2" fillId="8" borderId="2" xfId="1" applyFont="1" applyFill="1" applyBorder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 wrapText="1"/>
    </xf>
    <xf numFmtId="0" fontId="19" fillId="13" borderId="4" xfId="1" applyFont="1" applyFill="1" applyBorder="1" applyAlignment="1">
      <alignment horizontal="center" vertical="center" wrapText="1"/>
    </xf>
    <xf numFmtId="0" fontId="19" fillId="13" borderId="1" xfId="1" applyFont="1" applyFill="1" applyBorder="1" applyAlignment="1">
      <alignment horizontal="center" vertical="center" wrapText="1"/>
    </xf>
    <xf numFmtId="0" fontId="7" fillId="12" borderId="2" xfId="1" applyFont="1" applyFill="1" applyBorder="1" applyAlignment="1">
      <alignment horizontal="center" vertical="center" wrapText="1"/>
    </xf>
    <xf numFmtId="0" fontId="7" fillId="4" borderId="4" xfId="1" applyFont="1" applyFill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17" fillId="0" borderId="3" xfId="1" applyFont="1" applyBorder="1" applyAlignment="1">
      <alignment horizontal="center" vertical="center" wrapText="1"/>
    </xf>
    <xf numFmtId="0" fontId="14" fillId="3" borderId="17" xfId="1" applyFont="1" applyFill="1" applyBorder="1" applyAlignment="1">
      <alignment horizontal="center" vertical="center" wrapText="1"/>
    </xf>
    <xf numFmtId="0" fontId="14" fillId="3" borderId="16" xfId="1" applyFont="1" applyFill="1" applyBorder="1" applyAlignment="1">
      <alignment horizontal="center" vertical="center" wrapText="1"/>
    </xf>
    <xf numFmtId="0" fontId="14" fillId="3" borderId="15" xfId="1" applyFont="1" applyFill="1" applyBorder="1" applyAlignment="1">
      <alignment horizontal="center" vertical="center" wrapText="1"/>
    </xf>
    <xf numFmtId="0" fontId="14" fillId="3" borderId="3" xfId="1" applyFont="1" applyFill="1" applyBorder="1" applyAlignment="1">
      <alignment horizontal="center" vertical="center" wrapText="1"/>
    </xf>
    <xf numFmtId="0" fontId="10" fillId="3" borderId="12" xfId="1" applyFont="1" applyFill="1" applyBorder="1" applyAlignment="1">
      <alignment horizontal="center" vertical="center" wrapText="1"/>
    </xf>
    <xf numFmtId="0" fontId="10" fillId="3" borderId="11" xfId="1" applyFont="1" applyFill="1" applyBorder="1" applyAlignment="1">
      <alignment horizontal="center" vertical="center" wrapText="1"/>
    </xf>
    <xf numFmtId="0" fontId="10" fillId="3" borderId="10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Normal 2 2" xfId="1" xr:uid="{52DD22D3-D386-42DF-ABA3-52CF0C3E2E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rnis/Desktop/PW%20Skills%20-%20Live%20session%20resources/EXCEL%20resources/DA%20July'25%20Live%20-%20Revision.xlsx" TargetMode="External"/><Relationship Id="rId2" Type="http://schemas.openxmlformats.org/officeDocument/2006/relationships/externalLinkPath" Target="file:///C:\Users\drnis\Desktop\PW%20Skills%20-%20Live%20session%20resources\DA%20July'25%20Live%20-%20Revision.xlsx" TargetMode="External"/><Relationship Id="rId1" Type="http://schemas.openxmlformats.org/officeDocument/2006/relationships/externalLinkPath" Target="/Users/drnis/Desktop/PW%20Skills%20-%20Live%20session%20resources/EXCEL%20resources/DA%20July'25%20Live%20-%20Revis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W%20Recordings\Excel%20files\Lectures_new.xlsx" TargetMode="External"/><Relationship Id="rId1" Type="http://schemas.openxmlformats.org/officeDocument/2006/relationships/externalLinkPath" Target="file:///D:\PW%20Recordings\Excel%20files\Lectures_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6"/>
      <sheetName val="Practice"/>
      <sheetName val="Arithmetic functions"/>
      <sheetName val="Date, Number, Text formatting"/>
      <sheetName val="Cell Referencing"/>
      <sheetName val="IF and IFS"/>
      <sheetName val="Logical operators"/>
      <sheetName val="Logical functions"/>
      <sheetName val="Text functions"/>
      <sheetName val="Table"/>
      <sheetName val="Date functions"/>
      <sheetName val="Conditional formatting"/>
      <sheetName val="Basic Charts"/>
      <sheetName val="HLOOKUP"/>
      <sheetName val="VLOOKUP"/>
      <sheetName val="LOOKUP"/>
      <sheetName val="XLOOKUP"/>
      <sheetName val="Index and Match functions"/>
      <sheetName val="Offset"/>
      <sheetName val="Scenario manager"/>
      <sheetName val="Goal seek - 1"/>
      <sheetName val="Goal Seek - 2"/>
      <sheetName val="Data for Pivot Table and Chart"/>
      <sheetName val="Sheet1"/>
      <sheetName val="Data Table"/>
      <sheetName val="Unclean Data"/>
      <sheetName val="Sheet2"/>
      <sheetName val="Demo Dashboard"/>
      <sheetName val="DASHBOARD"/>
      <sheetName val="VBA MAcros"/>
    </sheetNames>
    <sheetDataSet>
      <sheetData sheetId="0">
        <row r="20">
          <cell r="C20">
            <v>10</v>
          </cell>
        </row>
        <row r="21">
          <cell r="C21">
            <v>20</v>
          </cell>
        </row>
        <row r="22">
          <cell r="C22">
            <v>30</v>
          </cell>
        </row>
        <row r="23">
          <cell r="C23">
            <v>40</v>
          </cell>
        </row>
        <row r="24">
          <cell r="C24">
            <v>50</v>
          </cell>
        </row>
        <row r="25">
          <cell r="C25">
            <v>80</v>
          </cell>
        </row>
        <row r="26">
          <cell r="C26">
            <v>70</v>
          </cell>
        </row>
        <row r="27">
          <cell r="C27">
            <v>80</v>
          </cell>
        </row>
        <row r="28">
          <cell r="C28">
            <v>90</v>
          </cell>
        </row>
        <row r="29">
          <cell r="C29">
            <v>100</v>
          </cell>
        </row>
        <row r="30">
          <cell r="C30">
            <v>110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lit (and freeze)"/>
      <sheetName val="FORMULAS AND FUNCTIONS"/>
      <sheetName val="goto, go to special"/>
      <sheetName val="find, replace"/>
      <sheetName val="VIsible cells only"/>
      <sheetName val="FILL - down right flash"/>
      <sheetName val="Copying formulas"/>
      <sheetName val="SUBTOTAL"/>
      <sheetName val="ROUND FUNCTIONS"/>
      <sheetName val="Text functions"/>
      <sheetName val="Basic formatting"/>
      <sheetName val="Logical operators (test)"/>
      <sheetName val="How to use IF functions"/>
      <sheetName val="Absolute Relative cell referenc"/>
      <sheetName val="If functions "/>
      <sheetName val="IFs Functions"/>
      <sheetName val="Database functions"/>
      <sheetName val="Logical functions"/>
      <sheetName val="Speak cells, Show hide formulas"/>
      <sheetName val="Trace precedents and dependents"/>
      <sheetName val="Evaluate formulas"/>
      <sheetName val="FOrmula auditing 2"/>
      <sheetName val="Excel Protection"/>
      <sheetName val="Text to columns - Delimiter"/>
      <sheetName val="Text to columns - Fixed width"/>
      <sheetName val="Textsplit function"/>
      <sheetName val="Textbefore function"/>
      <sheetName val="Textafter function"/>
      <sheetName val="Naming ranges"/>
      <sheetName val="Tables in Excel"/>
      <sheetName val="Data Validation"/>
      <sheetName val="Dropdown"/>
      <sheetName val="Data for dropdown"/>
      <sheetName val="Dependent dropdown"/>
      <sheetName val="Index and Match functions"/>
      <sheetName val="HLOOKUP"/>
      <sheetName val="VLOOKUP"/>
      <sheetName val="LOOKUP"/>
      <sheetName val="XLOOKUP"/>
      <sheetName val="Offset"/>
      <sheetName val="Number formatting"/>
      <sheetName val="Date and Time formatting"/>
      <sheetName val="Excel Table"/>
      <sheetName val="Basic Sorting and Filtering"/>
      <sheetName val="Advanced sorting and filtering"/>
      <sheetName val="Sheet6"/>
      <sheetName val="Removing Duplicates"/>
      <sheetName val="Remove duplicates - Table3"/>
      <sheetName val="Scenario manager"/>
      <sheetName val="Scenario Summary"/>
      <sheetName val="Scenario PivotTable"/>
      <sheetName val="Data Table"/>
      <sheetName val="Goal seek - 1"/>
      <sheetName val="Goal Seek - 2"/>
      <sheetName val="Sales - 2021"/>
      <sheetName val="Sales - 2022"/>
      <sheetName val="Sales - 2023"/>
      <sheetName val="Sales - 2024"/>
      <sheetName val="Consolidate TotalSales"/>
      <sheetName val="Type Check"/>
      <sheetName val="Approximate &amp; true match"/>
      <sheetName val="Date Time functions"/>
      <sheetName val="Basic Conditional formatting"/>
      <sheetName val="Advanced Conditional formatting"/>
      <sheetName val="Data for Pivot table"/>
      <sheetName val="Pivot grouping"/>
      <sheetName val="Pivot Table"/>
      <sheetName val="Pivot Table 2"/>
      <sheetName val="Data for Pivot chart"/>
      <sheetName val="Pivot Chart"/>
      <sheetName val="Pivot Slicer"/>
      <sheetName val="Pivot Timeline"/>
      <sheetName val="Charts - Column, Clustered, Pie"/>
      <sheetName val="Charts - Line, Clustered bar"/>
      <sheetName val="Charts - Sprklne, Wtrf, Fnnl"/>
      <sheetName val="Charts - Treemap, Sunburst"/>
      <sheetName val="Unclean data"/>
      <sheetName val="Power Query - Cleaned data"/>
      <sheetName val="Power Query Merge."/>
      <sheetName val="Table1"/>
      <sheetName val="Table2"/>
      <sheetName val="Append1"/>
      <sheetName val="Sheet5"/>
      <sheetName val="Sheet2"/>
      <sheetName val="Sheet1"/>
      <sheetName val="Unclean sales data"/>
      <sheetName val="Clean sales data"/>
      <sheetName val="Dashboard_New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4">
          <cell r="F4">
            <v>5</v>
          </cell>
        </row>
        <row r="5">
          <cell r="F5">
            <v>6</v>
          </cell>
        </row>
        <row r="6">
          <cell r="F6">
            <v>10</v>
          </cell>
        </row>
        <row r="7">
          <cell r="F7">
            <v>4</v>
          </cell>
        </row>
        <row r="8">
          <cell r="F8">
            <v>9</v>
          </cell>
        </row>
        <row r="9">
          <cell r="F9">
            <v>8</v>
          </cell>
        </row>
        <row r="10">
          <cell r="F10">
            <v>7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8137-6BCC-4B0A-9DCB-38E8863E664E}">
  <dimension ref="A2:S83"/>
  <sheetViews>
    <sheetView tabSelected="1" zoomScale="30" zoomScaleNormal="50" workbookViewId="0">
      <selection activeCell="M32" sqref="M32"/>
    </sheetView>
  </sheetViews>
  <sheetFormatPr defaultColWidth="14.6640625" defaultRowHeight="18" x14ac:dyDescent="0.3"/>
  <cols>
    <col min="1" max="1" width="11.109375" style="1" customWidth="1"/>
    <col min="2" max="2" width="25" style="1" customWidth="1"/>
    <col min="3" max="3" width="25.21875" style="1" customWidth="1"/>
    <col min="4" max="4" width="28.33203125" style="1" customWidth="1"/>
    <col min="5" max="5" width="23.77734375" style="1" customWidth="1"/>
    <col min="6" max="6" width="24.109375" style="1" customWidth="1"/>
    <col min="7" max="7" width="25.21875" style="1" customWidth="1"/>
    <col min="8" max="8" width="25" style="1" customWidth="1"/>
    <col min="9" max="9" width="20.33203125" style="1" customWidth="1"/>
    <col min="10" max="10" width="27.88671875" style="1" customWidth="1"/>
    <col min="11" max="11" width="27.21875" style="1" bestFit="1" customWidth="1"/>
    <col min="12" max="12" width="19.5546875" style="1" bestFit="1" customWidth="1"/>
    <col min="13" max="14" width="19.21875" style="1" bestFit="1" customWidth="1"/>
    <col min="15" max="19" width="19.5546875" style="1" bestFit="1" customWidth="1"/>
    <col min="20" max="26" width="17.109375" style="1" customWidth="1"/>
    <col min="27" max="16384" width="14.6640625" style="1"/>
  </cols>
  <sheetData>
    <row r="2" spans="1:10" ht="21" x14ac:dyDescent="0.3">
      <c r="A2" s="68">
        <v>1</v>
      </c>
      <c r="B2" s="62" t="s">
        <v>28</v>
      </c>
      <c r="C2" s="38" t="s">
        <v>27</v>
      </c>
      <c r="D2" s="38" t="s">
        <v>10</v>
      </c>
      <c r="E2" s="38" t="s">
        <v>26</v>
      </c>
    </row>
    <row r="3" spans="1:10" x14ac:dyDescent="0.3">
      <c r="A3" s="68"/>
      <c r="B3" s="53">
        <v>36533</v>
      </c>
      <c r="C3" s="29" t="s">
        <v>23</v>
      </c>
      <c r="D3" s="29" t="s">
        <v>9</v>
      </c>
      <c r="E3" s="52">
        <v>2000</v>
      </c>
    </row>
    <row r="4" spans="1:10" ht="26.4" customHeight="1" x14ac:dyDescent="0.3">
      <c r="A4" s="68"/>
      <c r="B4" s="53">
        <v>36540</v>
      </c>
      <c r="C4" s="29" t="s">
        <v>29</v>
      </c>
      <c r="D4" s="29" t="s">
        <v>9</v>
      </c>
      <c r="E4" s="52">
        <v>28000</v>
      </c>
      <c r="G4" s="61" t="s">
        <v>36</v>
      </c>
      <c r="H4" s="61" t="s">
        <v>27</v>
      </c>
      <c r="I4" s="60" t="s">
        <v>26</v>
      </c>
      <c r="J4" s="69" t="s">
        <v>38</v>
      </c>
    </row>
    <row r="5" spans="1:10" x14ac:dyDescent="0.3">
      <c r="A5" s="68"/>
      <c r="B5" s="53">
        <v>36526</v>
      </c>
      <c r="C5" s="29" t="s">
        <v>21</v>
      </c>
      <c r="D5" s="29" t="s">
        <v>8</v>
      </c>
      <c r="E5" s="52">
        <v>14000</v>
      </c>
      <c r="G5" s="59" t="s">
        <v>9</v>
      </c>
      <c r="H5" s="50" t="str">
        <f>_xlfn.XLOOKUP(G5,D2:D19,C2:C19)</f>
        <v>East</v>
      </c>
      <c r="I5" s="49">
        <f t="shared" ref="I5:I13" si="0">_xlfn.XLOOKUP(G5,$D$2:$D$19,$E$2:$E$19)</f>
        <v>2000</v>
      </c>
      <c r="J5" s="70"/>
    </row>
    <row r="6" spans="1:10" x14ac:dyDescent="0.3">
      <c r="A6" s="68"/>
      <c r="B6" s="53">
        <v>36536</v>
      </c>
      <c r="C6" s="29" t="s">
        <v>24</v>
      </c>
      <c r="D6" s="29" t="s">
        <v>8</v>
      </c>
      <c r="E6" s="55">
        <v>36000</v>
      </c>
      <c r="F6" s="33" t="s">
        <v>37</v>
      </c>
      <c r="G6" s="58" t="s">
        <v>9</v>
      </c>
      <c r="H6" s="50" t="str">
        <f>_xlfn.XLOOKUP(G6,D2:D19,C2:C19,,,-1)</f>
        <v>South</v>
      </c>
      <c r="I6" s="49">
        <f t="shared" si="0"/>
        <v>2000</v>
      </c>
      <c r="J6" s="70"/>
    </row>
    <row r="7" spans="1:10" x14ac:dyDescent="0.3">
      <c r="A7" s="68"/>
      <c r="B7" s="53">
        <v>36528</v>
      </c>
      <c r="C7" s="29" t="s">
        <v>21</v>
      </c>
      <c r="D7" s="29" t="s">
        <v>18</v>
      </c>
      <c r="E7" s="55">
        <v>16000</v>
      </c>
      <c r="F7" s="56"/>
      <c r="G7" s="57" t="s">
        <v>5</v>
      </c>
      <c r="H7" s="50" t="str">
        <f t="shared" ref="H7:H13" si="1">_xlfn.XLOOKUP(G7,$D$2:$D$19,$C$2:$C$19)</f>
        <v>South</v>
      </c>
      <c r="I7" s="49">
        <f t="shared" si="0"/>
        <v>30000</v>
      </c>
      <c r="J7" s="70"/>
    </row>
    <row r="8" spans="1:10" x14ac:dyDescent="0.3">
      <c r="A8" s="68"/>
      <c r="B8" s="53">
        <v>36544</v>
      </c>
      <c r="C8" s="29" t="s">
        <v>21</v>
      </c>
      <c r="D8" s="29" t="s">
        <v>18</v>
      </c>
      <c r="E8" s="55">
        <v>18000</v>
      </c>
      <c r="F8" s="33" t="s">
        <v>37</v>
      </c>
      <c r="G8" s="51" t="s">
        <v>5</v>
      </c>
      <c r="H8" s="50" t="str">
        <f t="shared" si="1"/>
        <v>South</v>
      </c>
      <c r="I8" s="49">
        <f t="shared" si="0"/>
        <v>30000</v>
      </c>
      <c r="J8" s="70"/>
    </row>
    <row r="9" spans="1:10" x14ac:dyDescent="0.3">
      <c r="A9" s="68"/>
      <c r="B9" s="53">
        <v>36538</v>
      </c>
      <c r="C9" s="29" t="s">
        <v>29</v>
      </c>
      <c r="D9" s="29" t="s">
        <v>5</v>
      </c>
      <c r="E9" s="55">
        <v>30000</v>
      </c>
      <c r="F9" s="56"/>
      <c r="G9" s="51" t="s">
        <v>3</v>
      </c>
      <c r="H9" s="50" t="str">
        <f t="shared" si="1"/>
        <v>South</v>
      </c>
      <c r="I9" s="49">
        <f t="shared" si="0"/>
        <v>20000</v>
      </c>
      <c r="J9" s="70"/>
    </row>
    <row r="10" spans="1:10" x14ac:dyDescent="0.3">
      <c r="A10" s="68"/>
      <c r="B10" s="53">
        <v>36532</v>
      </c>
      <c r="C10" s="29" t="s">
        <v>24</v>
      </c>
      <c r="D10" s="29" t="s">
        <v>5</v>
      </c>
      <c r="E10" s="55">
        <v>38000</v>
      </c>
      <c r="F10" s="56"/>
      <c r="G10" s="51" t="s">
        <v>0</v>
      </c>
      <c r="H10" s="50" t="str">
        <f t="shared" si="1"/>
        <v>East</v>
      </c>
      <c r="I10" s="49">
        <f t="shared" si="0"/>
        <v>10000</v>
      </c>
      <c r="J10" s="70"/>
    </row>
    <row r="11" spans="1:10" x14ac:dyDescent="0.3">
      <c r="A11" s="68"/>
      <c r="B11" s="53">
        <v>36531</v>
      </c>
      <c r="C11" s="29" t="s">
        <v>23</v>
      </c>
      <c r="D11" s="29" t="s">
        <v>4</v>
      </c>
      <c r="E11" s="55">
        <v>4000</v>
      </c>
      <c r="F11" s="33" t="s">
        <v>37</v>
      </c>
      <c r="G11" s="51" t="s">
        <v>0</v>
      </c>
      <c r="H11" s="50" t="str">
        <f t="shared" si="1"/>
        <v>East</v>
      </c>
      <c r="I11" s="49">
        <f t="shared" si="0"/>
        <v>10000</v>
      </c>
      <c r="J11" s="70"/>
    </row>
    <row r="12" spans="1:10" x14ac:dyDescent="0.3">
      <c r="A12" s="68"/>
      <c r="B12" s="53">
        <v>36538</v>
      </c>
      <c r="C12" s="29" t="s">
        <v>29</v>
      </c>
      <c r="D12" s="29" t="s">
        <v>3</v>
      </c>
      <c r="E12" s="52">
        <v>20000</v>
      </c>
      <c r="F12" s="54"/>
      <c r="G12" s="51" t="s">
        <v>1</v>
      </c>
      <c r="H12" s="50" t="str">
        <f t="shared" si="1"/>
        <v>North</v>
      </c>
      <c r="I12" s="49">
        <f t="shared" si="0"/>
        <v>20000</v>
      </c>
      <c r="J12" s="70"/>
    </row>
    <row r="13" spans="1:10" x14ac:dyDescent="0.3">
      <c r="A13" s="68"/>
      <c r="B13" s="53">
        <v>36542</v>
      </c>
      <c r="C13" s="29" t="s">
        <v>23</v>
      </c>
      <c r="D13" s="29" t="s">
        <v>2</v>
      </c>
      <c r="E13" s="52">
        <v>6000</v>
      </c>
      <c r="F13" s="33" t="s">
        <v>37</v>
      </c>
      <c r="G13" s="51" t="s">
        <v>1</v>
      </c>
      <c r="H13" s="50" t="str">
        <f t="shared" si="1"/>
        <v>North</v>
      </c>
      <c r="I13" s="49">
        <f t="shared" si="0"/>
        <v>20000</v>
      </c>
      <c r="J13" s="71"/>
    </row>
    <row r="14" spans="1:10" x14ac:dyDescent="0.3">
      <c r="A14" s="68"/>
      <c r="B14" s="48">
        <v>36535</v>
      </c>
      <c r="C14" s="40" t="s">
        <v>23</v>
      </c>
      <c r="D14" s="40" t="s">
        <v>2</v>
      </c>
      <c r="E14" s="47">
        <v>8000</v>
      </c>
      <c r="H14" s="46"/>
      <c r="I14" s="45"/>
      <c r="J14" s="45"/>
    </row>
    <row r="15" spans="1:10" x14ac:dyDescent="0.3">
      <c r="A15" s="68"/>
      <c r="B15" s="44">
        <v>36545</v>
      </c>
      <c r="C15" s="43" t="s">
        <v>21</v>
      </c>
      <c r="D15" s="43" t="s">
        <v>1</v>
      </c>
      <c r="E15" s="42">
        <v>20000</v>
      </c>
      <c r="I15" s="41"/>
      <c r="J15" s="41"/>
    </row>
    <row r="16" spans="1:10" x14ac:dyDescent="0.3">
      <c r="A16" s="68"/>
      <c r="B16" s="44">
        <v>36529</v>
      </c>
      <c r="C16" s="43" t="s">
        <v>24</v>
      </c>
      <c r="D16" s="43" t="s">
        <v>1</v>
      </c>
      <c r="E16" s="42">
        <v>42000</v>
      </c>
      <c r="I16" s="41"/>
      <c r="J16" s="41"/>
    </row>
    <row r="17" spans="1:19" x14ac:dyDescent="0.3">
      <c r="A17" s="68"/>
      <c r="B17" s="44">
        <v>36531</v>
      </c>
      <c r="C17" s="43" t="s">
        <v>23</v>
      </c>
      <c r="D17" s="43" t="s">
        <v>0</v>
      </c>
      <c r="E17" s="42">
        <v>10000</v>
      </c>
      <c r="I17" s="41"/>
      <c r="J17" s="41"/>
    </row>
    <row r="18" spans="1:19" x14ac:dyDescent="0.3">
      <c r="A18" s="68"/>
      <c r="B18" s="44">
        <v>36535</v>
      </c>
      <c r="C18" s="43" t="s">
        <v>21</v>
      </c>
      <c r="D18" s="43" t="s">
        <v>0</v>
      </c>
      <c r="E18" s="42">
        <v>25000</v>
      </c>
      <c r="I18" s="41"/>
      <c r="J18" s="41"/>
    </row>
    <row r="19" spans="1:19" x14ac:dyDescent="0.3">
      <c r="A19" s="68"/>
      <c r="B19" s="44">
        <v>36531</v>
      </c>
      <c r="C19" s="43" t="s">
        <v>24</v>
      </c>
      <c r="D19" s="43" t="s">
        <v>22</v>
      </c>
      <c r="E19" s="42">
        <v>60000</v>
      </c>
      <c r="I19" s="41"/>
      <c r="J19" s="41"/>
    </row>
    <row r="21" spans="1:19" ht="21" x14ac:dyDescent="0.3">
      <c r="A21" s="38" t="s">
        <v>10</v>
      </c>
      <c r="B21" s="29" t="s">
        <v>9</v>
      </c>
      <c r="C21" s="29" t="s">
        <v>9</v>
      </c>
      <c r="D21" s="29" t="s">
        <v>8</v>
      </c>
      <c r="E21" s="29" t="s">
        <v>8</v>
      </c>
      <c r="F21" s="29" t="s">
        <v>8</v>
      </c>
      <c r="G21" s="29" t="s">
        <v>18</v>
      </c>
      <c r="H21" s="29" t="s">
        <v>18</v>
      </c>
      <c r="I21" s="29" t="s">
        <v>5</v>
      </c>
      <c r="J21" s="29" t="s">
        <v>5</v>
      </c>
      <c r="K21" s="29" t="s">
        <v>4</v>
      </c>
      <c r="L21" s="29" t="s">
        <v>3</v>
      </c>
      <c r="M21" s="29" t="s">
        <v>2</v>
      </c>
      <c r="N21" s="29" t="s">
        <v>2</v>
      </c>
      <c r="O21" s="29" t="s">
        <v>2</v>
      </c>
      <c r="P21" s="29" t="s">
        <v>1</v>
      </c>
      <c r="Q21" s="29" t="s">
        <v>1</v>
      </c>
      <c r="R21" s="40" t="s">
        <v>0</v>
      </c>
      <c r="S21" s="39" t="s">
        <v>22</v>
      </c>
    </row>
    <row r="22" spans="1:19" ht="21" x14ac:dyDescent="0.3">
      <c r="A22" s="38" t="s">
        <v>28</v>
      </c>
      <c r="B22" s="26">
        <v>36533</v>
      </c>
      <c r="C22" s="26">
        <v>36540</v>
      </c>
      <c r="D22" s="26">
        <v>36526</v>
      </c>
      <c r="E22" s="26">
        <v>36536</v>
      </c>
      <c r="F22" s="26">
        <v>36537</v>
      </c>
      <c r="G22" s="26">
        <v>36528</v>
      </c>
      <c r="H22" s="26">
        <v>36544</v>
      </c>
      <c r="I22" s="26">
        <v>36538</v>
      </c>
      <c r="J22" s="26">
        <v>36532</v>
      </c>
      <c r="K22" s="26">
        <v>36531</v>
      </c>
      <c r="L22" s="26">
        <v>36538</v>
      </c>
      <c r="M22" s="26">
        <v>36542</v>
      </c>
      <c r="N22" s="26">
        <v>36535</v>
      </c>
      <c r="O22" s="26">
        <v>36547</v>
      </c>
      <c r="P22" s="26">
        <v>36545</v>
      </c>
      <c r="Q22" s="26">
        <v>36529</v>
      </c>
      <c r="R22" s="24">
        <v>36531</v>
      </c>
      <c r="S22" s="20">
        <v>36535</v>
      </c>
    </row>
    <row r="23" spans="1:19" ht="42" x14ac:dyDescent="0.3">
      <c r="A23" s="38" t="s">
        <v>27</v>
      </c>
      <c r="B23" s="26" t="s">
        <v>23</v>
      </c>
      <c r="C23" s="26" t="s">
        <v>29</v>
      </c>
      <c r="D23" s="26" t="s">
        <v>21</v>
      </c>
      <c r="E23" s="26" t="s">
        <v>24</v>
      </c>
      <c r="F23" s="26" t="s">
        <v>24</v>
      </c>
      <c r="G23" s="26" t="s">
        <v>21</v>
      </c>
      <c r="H23" s="29" t="s">
        <v>24</v>
      </c>
      <c r="I23" s="26" t="s">
        <v>29</v>
      </c>
      <c r="J23" s="26" t="s">
        <v>24</v>
      </c>
      <c r="K23" s="26" t="s">
        <v>23</v>
      </c>
      <c r="L23" s="26" t="s">
        <v>29</v>
      </c>
      <c r="M23" s="26" t="s">
        <v>23</v>
      </c>
      <c r="N23" s="26" t="s">
        <v>23</v>
      </c>
      <c r="O23" s="29" t="s">
        <v>24</v>
      </c>
      <c r="P23" s="29" t="s">
        <v>21</v>
      </c>
      <c r="Q23" s="26" t="s">
        <v>24</v>
      </c>
      <c r="R23" s="24" t="s">
        <v>23</v>
      </c>
      <c r="S23" s="20" t="s">
        <v>21</v>
      </c>
    </row>
    <row r="24" spans="1:19" ht="21" x14ac:dyDescent="0.3">
      <c r="A24" s="37" t="s">
        <v>26</v>
      </c>
      <c r="B24" s="36">
        <v>2000</v>
      </c>
      <c r="C24" s="36">
        <v>28000</v>
      </c>
      <c r="D24" s="36">
        <v>14000</v>
      </c>
      <c r="E24" s="36">
        <v>36000</v>
      </c>
      <c r="F24" s="36">
        <v>50000</v>
      </c>
      <c r="G24" s="36">
        <v>16000</v>
      </c>
      <c r="H24" s="36">
        <v>18000</v>
      </c>
      <c r="I24" s="36">
        <v>30000</v>
      </c>
      <c r="J24" s="36">
        <v>38000</v>
      </c>
      <c r="K24" s="36">
        <v>4000</v>
      </c>
      <c r="L24" s="36">
        <v>20000</v>
      </c>
      <c r="M24" s="36">
        <v>6000</v>
      </c>
      <c r="N24" s="36">
        <v>8000</v>
      </c>
      <c r="O24" s="36">
        <v>40000</v>
      </c>
      <c r="P24" s="36">
        <v>20000</v>
      </c>
      <c r="Q24" s="36">
        <v>42000</v>
      </c>
      <c r="R24" s="2">
        <v>10000</v>
      </c>
      <c r="S24" s="2">
        <v>25000</v>
      </c>
    </row>
    <row r="25" spans="1:19" ht="36" x14ac:dyDescent="0.3">
      <c r="A25" s="68">
        <v>2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</row>
    <row r="27" spans="1:19" ht="21" x14ac:dyDescent="0.3">
      <c r="B27" s="35" t="s">
        <v>36</v>
      </c>
      <c r="C27" s="35" t="s">
        <v>27</v>
      </c>
      <c r="D27" s="35" t="s">
        <v>26</v>
      </c>
      <c r="E27" s="72" t="s">
        <v>35</v>
      </c>
    </row>
    <row r="28" spans="1:19" x14ac:dyDescent="0.3">
      <c r="B28" s="5" t="s">
        <v>9</v>
      </c>
      <c r="C28" s="17" t="str">
        <f t="shared" ref="C28:C37" si="2">_xlfn.XLOOKUP(B28,$A$21:$S$21,$A$23:$S$23,"NOT PRESENT IN THE DATA")</f>
        <v>East</v>
      </c>
      <c r="D28" s="32">
        <f t="shared" ref="D28:D37" si="3">_xlfn.XLOOKUP(B28,$A$21:$S$21,$A$24:$S$24,"NOT PRESENT IN THE DATA")</f>
        <v>2000</v>
      </c>
      <c r="E28" s="72"/>
    </row>
    <row r="29" spans="1:19" ht="36" x14ac:dyDescent="0.3">
      <c r="A29" s="33" t="s">
        <v>32</v>
      </c>
      <c r="B29" s="5" t="s">
        <v>9</v>
      </c>
      <c r="C29" s="17" t="str">
        <f t="shared" si="2"/>
        <v>East</v>
      </c>
      <c r="D29" s="32">
        <f t="shared" si="3"/>
        <v>2000</v>
      </c>
      <c r="E29" s="72"/>
    </row>
    <row r="30" spans="1:19" x14ac:dyDescent="0.3">
      <c r="B30" s="5" t="s">
        <v>5</v>
      </c>
      <c r="C30" s="17" t="str">
        <f t="shared" si="2"/>
        <v>South</v>
      </c>
      <c r="D30" s="32">
        <f t="shared" si="3"/>
        <v>30000</v>
      </c>
      <c r="E30" s="72"/>
    </row>
    <row r="31" spans="1:19" ht="36" x14ac:dyDescent="0.3">
      <c r="A31" s="33" t="s">
        <v>32</v>
      </c>
      <c r="B31" s="5" t="s">
        <v>5</v>
      </c>
      <c r="C31" s="17" t="str">
        <f t="shared" si="2"/>
        <v>South</v>
      </c>
      <c r="D31" s="32">
        <f t="shared" si="3"/>
        <v>30000</v>
      </c>
      <c r="E31" s="72"/>
    </row>
    <row r="32" spans="1:19" x14ac:dyDescent="0.3">
      <c r="B32" s="5" t="s">
        <v>3</v>
      </c>
      <c r="C32" s="17" t="str">
        <f t="shared" si="2"/>
        <v>South</v>
      </c>
      <c r="D32" s="32">
        <f t="shared" si="3"/>
        <v>20000</v>
      </c>
      <c r="E32" s="72"/>
    </row>
    <row r="33" spans="1:10" x14ac:dyDescent="0.3">
      <c r="B33" s="5" t="s">
        <v>18</v>
      </c>
      <c r="C33" s="17" t="str">
        <f t="shared" si="2"/>
        <v>North</v>
      </c>
      <c r="D33" s="32">
        <f t="shared" si="3"/>
        <v>16000</v>
      </c>
      <c r="E33" s="72"/>
    </row>
    <row r="34" spans="1:10" ht="36" x14ac:dyDescent="0.3">
      <c r="B34" s="34" t="s">
        <v>34</v>
      </c>
      <c r="C34" s="17" t="str">
        <f t="shared" si="2"/>
        <v>NOT PRESENT IN THE DATA</v>
      </c>
      <c r="D34" s="32" t="str">
        <f t="shared" si="3"/>
        <v>NOT PRESENT IN THE DATA</v>
      </c>
      <c r="E34" s="72"/>
    </row>
    <row r="35" spans="1:10" ht="36" x14ac:dyDescent="0.3">
      <c r="B35" s="34" t="s">
        <v>33</v>
      </c>
      <c r="C35" s="17" t="str">
        <f t="shared" si="2"/>
        <v>NOT PRESENT IN THE DATA</v>
      </c>
      <c r="D35" s="32" t="str">
        <f t="shared" si="3"/>
        <v>NOT PRESENT IN THE DATA</v>
      </c>
      <c r="E35" s="72"/>
    </row>
    <row r="36" spans="1:10" x14ac:dyDescent="0.3">
      <c r="B36" s="5" t="s">
        <v>1</v>
      </c>
      <c r="C36" s="17" t="str">
        <f t="shared" si="2"/>
        <v>North</v>
      </c>
      <c r="D36" s="32">
        <f t="shared" si="3"/>
        <v>20000</v>
      </c>
      <c r="E36" s="72"/>
    </row>
    <row r="37" spans="1:10" ht="36" x14ac:dyDescent="0.3">
      <c r="A37" s="33" t="s">
        <v>32</v>
      </c>
      <c r="B37" s="5" t="s">
        <v>1</v>
      </c>
      <c r="C37" s="17" t="str">
        <f t="shared" si="2"/>
        <v>North</v>
      </c>
      <c r="D37" s="32">
        <f t="shared" si="3"/>
        <v>20000</v>
      </c>
      <c r="E37" s="72"/>
    </row>
    <row r="42" spans="1:10" ht="21" x14ac:dyDescent="0.3">
      <c r="A42" s="67">
        <v>3</v>
      </c>
      <c r="B42" s="31" t="s">
        <v>10</v>
      </c>
      <c r="C42" s="9" t="s">
        <v>28</v>
      </c>
      <c r="D42" s="9" t="s">
        <v>27</v>
      </c>
      <c r="E42" s="9" t="s">
        <v>26</v>
      </c>
    </row>
    <row r="43" spans="1:10" x14ac:dyDescent="0.3">
      <c r="A43" s="67"/>
      <c r="B43" s="3" t="s">
        <v>9</v>
      </c>
      <c r="C43" s="26">
        <v>36533</v>
      </c>
      <c r="D43" s="26" t="s">
        <v>23</v>
      </c>
      <c r="E43" s="2">
        <v>2000</v>
      </c>
    </row>
    <row r="44" spans="1:10" x14ac:dyDescent="0.3">
      <c r="A44" s="67"/>
      <c r="B44" s="3" t="s">
        <v>9</v>
      </c>
      <c r="C44" s="26">
        <v>36540</v>
      </c>
      <c r="D44" s="26" t="s">
        <v>29</v>
      </c>
      <c r="E44" s="2">
        <v>28000</v>
      </c>
    </row>
    <row r="45" spans="1:10" x14ac:dyDescent="0.3">
      <c r="A45" s="67"/>
      <c r="B45" s="3" t="s">
        <v>8</v>
      </c>
      <c r="C45" s="26">
        <v>36526</v>
      </c>
      <c r="D45" s="26" t="s">
        <v>21</v>
      </c>
      <c r="E45" s="2">
        <v>14000</v>
      </c>
    </row>
    <row r="46" spans="1:10" ht="21" x14ac:dyDescent="0.3">
      <c r="A46" s="67"/>
      <c r="B46" s="3" t="s">
        <v>8</v>
      </c>
      <c r="C46" s="26">
        <v>36536</v>
      </c>
      <c r="D46" s="26" t="s">
        <v>24</v>
      </c>
      <c r="E46" s="2">
        <v>36000</v>
      </c>
      <c r="G46" s="28" t="s">
        <v>10</v>
      </c>
      <c r="H46" s="28" t="s">
        <v>28</v>
      </c>
      <c r="I46" s="28" t="s">
        <v>27</v>
      </c>
      <c r="J46" s="73" t="s">
        <v>25</v>
      </c>
    </row>
    <row r="47" spans="1:10" x14ac:dyDescent="0.3">
      <c r="A47" s="67"/>
      <c r="B47" s="27" t="s">
        <v>31</v>
      </c>
      <c r="C47" s="26">
        <v>36528</v>
      </c>
      <c r="D47" s="26" t="s">
        <v>21</v>
      </c>
      <c r="E47" s="2">
        <v>16000</v>
      </c>
      <c r="G47" s="22" t="s">
        <v>4</v>
      </c>
      <c r="H47" s="17">
        <f>_xlfn.XLOOKUP(G47,B42:B58,C42:C58,"ABSENT",2)</f>
        <v>36531</v>
      </c>
      <c r="I47" s="17" t="str">
        <f>_xlfn.XLOOKUP(G47,$B$42:$B$58,$D$42:$D$58,"NO RESULT")</f>
        <v>East</v>
      </c>
      <c r="J47" s="74"/>
    </row>
    <row r="48" spans="1:10" ht="36" x14ac:dyDescent="0.3">
      <c r="A48" s="67"/>
      <c r="B48" s="27" t="s">
        <v>30</v>
      </c>
      <c r="C48" s="26">
        <v>36544</v>
      </c>
      <c r="D48" s="29" t="s">
        <v>23</v>
      </c>
      <c r="E48" s="2">
        <v>18000</v>
      </c>
      <c r="G48" s="22" t="s">
        <v>2</v>
      </c>
      <c r="H48" s="17">
        <f>_xlfn.XLOOKUP(G48,B43:B59,C43:C59,"ABSENT",2)</f>
        <v>36542</v>
      </c>
      <c r="I48" s="17" t="str">
        <f>_xlfn.XLOOKUP(G48,$B$42:$B$58,$D$42:$D$58,"NO RESULT")</f>
        <v>East</v>
      </c>
      <c r="J48" s="74"/>
    </row>
    <row r="49" spans="1:11" ht="19.2" x14ac:dyDescent="0.3">
      <c r="A49" s="67"/>
      <c r="B49" s="3" t="s">
        <v>5</v>
      </c>
      <c r="C49" s="26">
        <v>36538</v>
      </c>
      <c r="D49" s="26" t="s">
        <v>29</v>
      </c>
      <c r="E49" s="30">
        <v>30000</v>
      </c>
      <c r="F49" s="19" t="s">
        <v>20</v>
      </c>
      <c r="G49" s="18" t="s">
        <v>18</v>
      </c>
      <c r="H49" s="17">
        <f>_xlfn.XLOOKUP("*"&amp;G49,B44:B60,C44:C60,"ABSENT",2,)</f>
        <v>36528</v>
      </c>
      <c r="I49" s="17" t="str">
        <f>_xlfn.XLOOKUP("*"&amp;G49,$B$42:$B$58,$D$42:$D$58,"NO RESULT",2)</f>
        <v>North</v>
      </c>
      <c r="J49" s="74"/>
    </row>
    <row r="50" spans="1:11" ht="38.4" x14ac:dyDescent="0.3">
      <c r="A50" s="67"/>
      <c r="B50" s="3" t="s">
        <v>5</v>
      </c>
      <c r="C50" s="26">
        <v>36532</v>
      </c>
      <c r="D50" s="26" t="s">
        <v>24</v>
      </c>
      <c r="E50" s="30">
        <v>38000</v>
      </c>
      <c r="F50" s="19" t="s">
        <v>19</v>
      </c>
      <c r="G50" s="18" t="s">
        <v>18</v>
      </c>
      <c r="H50" s="17">
        <f>_xlfn.XLOOKUP("*"&amp;G50,B45:B61,C45:C61,"ABSENT",2,-1)</f>
        <v>36544</v>
      </c>
      <c r="I50" s="17" t="str">
        <f>_xlfn.XLOOKUP("*"&amp;G50,$B$42:$B$58,$D$42:$D$58,"NO RESULT",2)</f>
        <v>North</v>
      </c>
      <c r="J50" s="74"/>
    </row>
    <row r="51" spans="1:11" ht="19.2" x14ac:dyDescent="0.3">
      <c r="A51" s="67"/>
      <c r="B51" s="3" t="s">
        <v>4</v>
      </c>
      <c r="C51" s="26">
        <v>36531</v>
      </c>
      <c r="D51" s="26" t="s">
        <v>23</v>
      </c>
      <c r="E51" s="30">
        <v>4000</v>
      </c>
      <c r="F51" s="19" t="s">
        <v>1</v>
      </c>
      <c r="G51" s="18" t="s">
        <v>16</v>
      </c>
      <c r="H51" s="17">
        <f>_xlfn.XLOOKUP(G51&amp;"*",B46:B62,C46:C62,"ABSENT",2)</f>
        <v>36545</v>
      </c>
      <c r="I51" s="17" t="str">
        <f>_xlfn.XLOOKUP(G51&amp;"*",$B$42:$B$58,$D$42:$D$58,"NO RESULT",2)</f>
        <v>North</v>
      </c>
      <c r="J51" s="74"/>
    </row>
    <row r="52" spans="1:11" ht="19.2" x14ac:dyDescent="0.3">
      <c r="A52" s="67"/>
      <c r="B52" s="3" t="s">
        <v>3</v>
      </c>
      <c r="C52" s="26">
        <v>36538</v>
      </c>
      <c r="D52" s="26" t="s">
        <v>29</v>
      </c>
      <c r="E52" s="30">
        <v>20000</v>
      </c>
      <c r="F52" s="19" t="s">
        <v>17</v>
      </c>
      <c r="G52" s="18" t="s">
        <v>16</v>
      </c>
      <c r="H52" s="17">
        <f>_xlfn.XLOOKUP(G52&amp;"*",B47:B63,C47:C63,"ABSENT",2)</f>
        <v>36545</v>
      </c>
      <c r="I52" s="17" t="str">
        <f>_xlfn.XLOOKUP(G52&amp;"*",$B$42:$B$58,$D$42:$D$58,"NO RESULT",2)</f>
        <v>North</v>
      </c>
      <c r="J52" s="75"/>
    </row>
    <row r="53" spans="1:11" ht="19.8" x14ac:dyDescent="0.3">
      <c r="A53" s="67"/>
      <c r="B53" s="3" t="s">
        <v>2</v>
      </c>
      <c r="C53" s="26">
        <v>36542</v>
      </c>
      <c r="D53" s="26" t="s">
        <v>23</v>
      </c>
      <c r="E53" s="2">
        <v>6000</v>
      </c>
      <c r="F53" s="23"/>
      <c r="I53" s="17"/>
    </row>
    <row r="54" spans="1:11" ht="19.8" x14ac:dyDescent="0.3">
      <c r="A54" s="67"/>
      <c r="B54" s="3" t="s">
        <v>2</v>
      </c>
      <c r="C54" s="26">
        <v>36535</v>
      </c>
      <c r="D54" s="26" t="s">
        <v>23</v>
      </c>
      <c r="E54" s="2">
        <v>8000</v>
      </c>
      <c r="F54" s="23"/>
      <c r="I54" s="17"/>
    </row>
    <row r="55" spans="1:11" ht="21" x14ac:dyDescent="0.3">
      <c r="A55" s="67"/>
      <c r="B55" s="27" t="s">
        <v>1</v>
      </c>
      <c r="C55" s="26">
        <v>36545</v>
      </c>
      <c r="D55" s="29" t="s">
        <v>21</v>
      </c>
      <c r="E55" s="2">
        <v>20000</v>
      </c>
      <c r="F55" s="23"/>
      <c r="G55" s="28" t="s">
        <v>10</v>
      </c>
      <c r="H55" s="28" t="s">
        <v>28</v>
      </c>
      <c r="I55" s="28" t="s">
        <v>27</v>
      </c>
      <c r="J55" s="28" t="s">
        <v>26</v>
      </c>
      <c r="K55" s="76" t="s">
        <v>25</v>
      </c>
    </row>
    <row r="56" spans="1:11" ht="19.8" x14ac:dyDescent="0.3">
      <c r="A56" s="67"/>
      <c r="B56" s="27" t="s">
        <v>17</v>
      </c>
      <c r="C56" s="26">
        <v>36529</v>
      </c>
      <c r="D56" s="26" t="s">
        <v>24</v>
      </c>
      <c r="E56" s="2">
        <v>42000</v>
      </c>
      <c r="F56" s="23"/>
      <c r="G56" s="22" t="s">
        <v>4</v>
      </c>
      <c r="H56" s="17" cm="1">
        <f t="array" ref="H56:J56">_xlfn.XLOOKUP("*"&amp;G56&amp;"*",$B$42:$B$58,$C$42:$E$58,"NOT FOUND",2,-1)</f>
        <v>36531</v>
      </c>
      <c r="I56" s="17" t="str">
        <v>East</v>
      </c>
      <c r="J56" s="16">
        <v>4000</v>
      </c>
      <c r="K56" s="76"/>
    </row>
    <row r="57" spans="1:11" ht="19.8" x14ac:dyDescent="0.3">
      <c r="A57" s="67"/>
      <c r="B57" s="25" t="s">
        <v>0</v>
      </c>
      <c r="C57" s="24">
        <v>36531</v>
      </c>
      <c r="D57" s="24" t="s">
        <v>23</v>
      </c>
      <c r="E57" s="2">
        <v>10000</v>
      </c>
      <c r="F57" s="23"/>
      <c r="G57" s="22" t="s">
        <v>2</v>
      </c>
      <c r="H57" s="17" cm="1">
        <f t="array" ref="H57:J57">_xlfn.XLOOKUP("*"&amp;G57&amp;"*",$B$42:$B$58,$C$42:$E$58,"NOT FOUND",2,-1)</f>
        <v>36535</v>
      </c>
      <c r="I57" s="17" t="str">
        <v>East</v>
      </c>
      <c r="J57" s="16">
        <v>8000</v>
      </c>
      <c r="K57" s="76"/>
    </row>
    <row r="58" spans="1:11" ht="19.2" x14ac:dyDescent="0.3">
      <c r="A58" s="67"/>
      <c r="B58" s="21" t="s">
        <v>22</v>
      </c>
      <c r="C58" s="20">
        <v>36535</v>
      </c>
      <c r="D58" s="20" t="s">
        <v>21</v>
      </c>
      <c r="E58" s="2">
        <v>25000</v>
      </c>
      <c r="F58" s="19" t="s">
        <v>20</v>
      </c>
      <c r="G58" s="18" t="s">
        <v>18</v>
      </c>
      <c r="H58" s="17" cm="1">
        <f t="array" ref="H58:J58">_xlfn.XLOOKUP("*"&amp;G58&amp;"*",$B$42:$B$58,$C$42:$E$58,"NOT FOUND",2,-1)</f>
        <v>36544</v>
      </c>
      <c r="I58" s="17" t="str">
        <v>East</v>
      </c>
      <c r="J58" s="16">
        <v>18000</v>
      </c>
      <c r="K58" s="76"/>
    </row>
    <row r="59" spans="1:11" s="12" customFormat="1" ht="38.4" x14ac:dyDescent="0.3">
      <c r="B59" s="15"/>
      <c r="C59" s="14"/>
      <c r="D59" s="14"/>
      <c r="E59" s="13"/>
      <c r="F59" s="19" t="s">
        <v>19</v>
      </c>
      <c r="G59" s="18" t="s">
        <v>18</v>
      </c>
      <c r="H59" s="17" cm="1">
        <f t="array" ref="H59:J59">_xlfn.XLOOKUP("*"&amp;G59&amp;"*",$B$42:$B$58,$C$42:$E$58,"NOT FOUND",2,-1)</f>
        <v>36544</v>
      </c>
      <c r="I59" s="17" t="str">
        <v>East</v>
      </c>
      <c r="J59" s="16">
        <v>18000</v>
      </c>
      <c r="K59" s="76"/>
    </row>
    <row r="60" spans="1:11" s="12" customFormat="1" ht="19.2" x14ac:dyDescent="0.3">
      <c r="B60" s="15"/>
      <c r="C60" s="14"/>
      <c r="D60" s="14"/>
      <c r="E60" s="13"/>
      <c r="F60" s="19" t="s">
        <v>1</v>
      </c>
      <c r="G60" s="18" t="s">
        <v>16</v>
      </c>
      <c r="H60" s="17" cm="1">
        <f t="array" ref="H60:J60">_xlfn.XLOOKUP("*"&amp;G60&amp;"*",$B$42:$B$58,$C$42:$E$58,"NOT FOUND",2,-1)</f>
        <v>36529</v>
      </c>
      <c r="I60" s="17" t="str">
        <v>West</v>
      </c>
      <c r="J60" s="16">
        <v>42000</v>
      </c>
      <c r="K60" s="76"/>
    </row>
    <row r="61" spans="1:11" s="12" customFormat="1" ht="19.2" x14ac:dyDescent="0.3">
      <c r="B61" s="15"/>
      <c r="C61" s="14"/>
      <c r="D61" s="14"/>
      <c r="E61" s="13"/>
      <c r="F61" s="19" t="s">
        <v>17</v>
      </c>
      <c r="G61" s="18" t="s">
        <v>16</v>
      </c>
      <c r="H61" s="17" cm="1">
        <f t="array" ref="H61:J61">_xlfn.XLOOKUP("*"&amp;G61&amp;"*",$B$42:$B$58,$C$42:$E$58,"NOT FOUND",2,1)</f>
        <v>36545</v>
      </c>
      <c r="I61" s="17" t="str">
        <v>North</v>
      </c>
      <c r="J61" s="16">
        <v>20000</v>
      </c>
      <c r="K61" s="76"/>
    </row>
    <row r="62" spans="1:11" s="12" customFormat="1" x14ac:dyDescent="0.3">
      <c r="B62" s="15"/>
      <c r="C62" s="14"/>
      <c r="D62" s="14"/>
      <c r="E62" s="13"/>
    </row>
    <row r="63" spans="1:11" s="12" customFormat="1" x14ac:dyDescent="0.3">
      <c r="B63" s="15"/>
      <c r="C63" s="14"/>
      <c r="D63" s="14"/>
      <c r="E63" s="13"/>
    </row>
    <row r="68" spans="1:10" ht="42" x14ac:dyDescent="0.3">
      <c r="C68" s="63" t="s">
        <v>15</v>
      </c>
      <c r="D68" s="64"/>
      <c r="E68" s="65"/>
      <c r="G68" s="11" t="s">
        <v>14</v>
      </c>
      <c r="H68" s="11" t="s">
        <v>13</v>
      </c>
      <c r="I68" s="10" t="s">
        <v>12</v>
      </c>
      <c r="J68" s="66" t="s">
        <v>11</v>
      </c>
    </row>
    <row r="69" spans="1:10" ht="21" x14ac:dyDescent="0.3">
      <c r="B69" s="9" t="s">
        <v>10</v>
      </c>
      <c r="C69" s="8">
        <v>2018</v>
      </c>
      <c r="D69" s="8">
        <v>2019</v>
      </c>
      <c r="E69" s="8">
        <v>2020</v>
      </c>
      <c r="G69" s="7" t="s">
        <v>8</v>
      </c>
      <c r="H69" s="7">
        <v>2018</v>
      </c>
      <c r="I69" s="4" cm="1">
        <f t="array" ref="I69">_xlfn.XLOOKUP(G69,$B$69:$B$83,_xlfn.XLOOKUP(H69,$C$69:$E$69,$C$69:$E$83,"absent",,-1))</f>
        <v>40000</v>
      </c>
      <c r="J69" s="66"/>
    </row>
    <row r="70" spans="1:10" x14ac:dyDescent="0.3">
      <c r="A70" s="67">
        <v>4</v>
      </c>
      <c r="B70" s="3" t="s">
        <v>9</v>
      </c>
      <c r="C70" s="2">
        <v>36000</v>
      </c>
      <c r="D70" s="2">
        <v>20000</v>
      </c>
      <c r="E70" s="2">
        <v>28000</v>
      </c>
      <c r="G70" s="7" t="s">
        <v>2</v>
      </c>
      <c r="H70" s="7">
        <v>2019</v>
      </c>
      <c r="I70" s="4" cm="1">
        <f t="array" ref="I70">_xlfn.XLOOKUP(G70,$B$69:$B$83,_xlfn.XLOOKUP(H70,$C$69:$E$69,$C$69:$E$83,"absent",,-1))</f>
        <v>57000</v>
      </c>
      <c r="J70" s="66"/>
    </row>
    <row r="71" spans="1:10" x14ac:dyDescent="0.3">
      <c r="A71" s="67"/>
      <c r="B71" s="3" t="s">
        <v>9</v>
      </c>
      <c r="C71" s="2">
        <v>38000</v>
      </c>
      <c r="D71" s="2">
        <v>30000</v>
      </c>
      <c r="E71" s="2">
        <v>14000</v>
      </c>
      <c r="G71" s="6" t="s">
        <v>2</v>
      </c>
      <c r="H71" s="1">
        <v>2020</v>
      </c>
      <c r="I71" s="4" cm="1">
        <f t="array" ref="I71">_xlfn.XLOOKUP(G71,$B$69:$B$83,_xlfn.XLOOKUP(H71,$C$69:$E$69,$C$69:$E$83,"absent",,-1))</f>
        <v>8000</v>
      </c>
      <c r="J71" s="66"/>
    </row>
    <row r="72" spans="1:10" x14ac:dyDescent="0.3">
      <c r="A72" s="67"/>
      <c r="B72" s="3" t="s">
        <v>8</v>
      </c>
      <c r="C72" s="2">
        <v>40000</v>
      </c>
      <c r="D72" s="2">
        <v>10000</v>
      </c>
      <c r="E72" s="2">
        <v>36000</v>
      </c>
      <c r="G72" s="5" t="s">
        <v>0</v>
      </c>
      <c r="H72" s="5">
        <v>2019</v>
      </c>
      <c r="I72" s="4" cm="1">
        <f t="array" ref="I72">_xlfn.XLOOKUP(G72,$B$69:$B$83,_xlfn.XLOOKUP(H72,$C$69:$E$69,$C$69:$E$83,"absent",,-1))</f>
        <v>78000</v>
      </c>
      <c r="J72" s="66"/>
    </row>
    <row r="73" spans="1:10" x14ac:dyDescent="0.3">
      <c r="A73" s="67"/>
      <c r="B73" s="3" t="s">
        <v>8</v>
      </c>
      <c r="C73" s="2">
        <v>50000</v>
      </c>
      <c r="D73" s="2">
        <v>50000</v>
      </c>
      <c r="E73" s="2">
        <v>16000</v>
      </c>
      <c r="G73" s="5" t="s">
        <v>3</v>
      </c>
      <c r="H73" s="5">
        <v>2018</v>
      </c>
      <c r="I73" s="4" cm="1">
        <f t="array" ref="I73">_xlfn.XLOOKUP(G73,$B$69:$B$83,_xlfn.XLOOKUP(H73,$C$69:$E$69,$C$69:$E$83,"absent",,-1))</f>
        <v>35000</v>
      </c>
      <c r="J73" s="66"/>
    </row>
    <row r="74" spans="1:10" x14ac:dyDescent="0.3">
      <c r="A74" s="67"/>
      <c r="B74" s="3" t="s">
        <v>7</v>
      </c>
      <c r="C74" s="2">
        <v>20000</v>
      </c>
      <c r="D74" s="2">
        <v>60000</v>
      </c>
      <c r="E74" s="2">
        <v>18000</v>
      </c>
      <c r="G74" s="5" t="s">
        <v>1</v>
      </c>
      <c r="H74" s="5">
        <v>2020</v>
      </c>
      <c r="I74" s="4" cm="1">
        <f t="array" ref="I74">_xlfn.XLOOKUP(G74,$B$69:$B$83,_xlfn.XLOOKUP(H74,$C$69:$E$69,$C$69:$E$83,"absent",,-1))</f>
        <v>42000</v>
      </c>
      <c r="J74" s="66"/>
    </row>
    <row r="75" spans="1:10" ht="36" x14ac:dyDescent="0.3">
      <c r="A75" s="67"/>
      <c r="B75" s="3" t="s">
        <v>6</v>
      </c>
      <c r="C75" s="2">
        <v>32000</v>
      </c>
      <c r="D75" s="2">
        <v>70000</v>
      </c>
      <c r="E75" s="2">
        <v>30000</v>
      </c>
      <c r="G75" s="5" t="s">
        <v>5</v>
      </c>
      <c r="H75" s="5">
        <v>2019</v>
      </c>
      <c r="I75" s="4" cm="1">
        <f t="array" ref="I75">_xlfn.XLOOKUP(G75,$B$69:$B$83,_xlfn.XLOOKUP(H75,$C$69:$E$69,$C$69:$E$83,"absent",,-1))</f>
        <v>80000</v>
      </c>
      <c r="J75" s="66"/>
    </row>
    <row r="76" spans="1:10" x14ac:dyDescent="0.3">
      <c r="A76" s="67"/>
      <c r="B76" s="3" t="s">
        <v>5</v>
      </c>
      <c r="C76" s="2">
        <v>89000</v>
      </c>
      <c r="D76" s="2">
        <v>80000</v>
      </c>
      <c r="E76" s="2">
        <v>38000</v>
      </c>
    </row>
    <row r="77" spans="1:10" x14ac:dyDescent="0.3">
      <c r="A77" s="67"/>
      <c r="B77" s="3" t="s">
        <v>5</v>
      </c>
      <c r="C77" s="2">
        <v>50000</v>
      </c>
      <c r="D77" s="2">
        <v>90000</v>
      </c>
      <c r="E77" s="2">
        <v>4000</v>
      </c>
    </row>
    <row r="78" spans="1:10" x14ac:dyDescent="0.3">
      <c r="A78" s="67"/>
      <c r="B78" s="3" t="s">
        <v>4</v>
      </c>
      <c r="C78" s="2">
        <v>2000</v>
      </c>
      <c r="D78" s="2">
        <v>10000</v>
      </c>
      <c r="E78" s="2">
        <v>20000</v>
      </c>
    </row>
    <row r="79" spans="1:10" x14ac:dyDescent="0.3">
      <c r="A79" s="67"/>
      <c r="B79" s="3" t="s">
        <v>3</v>
      </c>
      <c r="C79" s="2">
        <v>35000</v>
      </c>
      <c r="D79" s="2">
        <v>2000</v>
      </c>
      <c r="E79" s="2">
        <v>6000</v>
      </c>
    </row>
    <row r="80" spans="1:10" x14ac:dyDescent="0.3">
      <c r="A80" s="67"/>
      <c r="B80" s="3" t="s">
        <v>2</v>
      </c>
      <c r="C80" s="2">
        <v>23000</v>
      </c>
      <c r="D80" s="2">
        <v>57000</v>
      </c>
      <c r="E80" s="2">
        <v>8000</v>
      </c>
    </row>
    <row r="81" spans="1:5" x14ac:dyDescent="0.3">
      <c r="A81" s="67"/>
      <c r="B81" s="3" t="s">
        <v>2</v>
      </c>
      <c r="C81" s="2">
        <v>56000</v>
      </c>
      <c r="D81" s="2">
        <v>40000</v>
      </c>
      <c r="E81" s="2">
        <v>20000</v>
      </c>
    </row>
    <row r="82" spans="1:5" x14ac:dyDescent="0.3">
      <c r="A82" s="67"/>
      <c r="B82" s="3" t="s">
        <v>1</v>
      </c>
      <c r="C82" s="2">
        <v>4000</v>
      </c>
      <c r="D82" s="2">
        <v>32000</v>
      </c>
      <c r="E82" s="2">
        <v>42000</v>
      </c>
    </row>
    <row r="83" spans="1:5" x14ac:dyDescent="0.3">
      <c r="A83" s="67"/>
      <c r="B83" s="3" t="s">
        <v>0</v>
      </c>
      <c r="C83" s="2">
        <v>36535</v>
      </c>
      <c r="D83" s="2">
        <v>78000</v>
      </c>
      <c r="E83" s="2">
        <v>25000</v>
      </c>
    </row>
  </sheetData>
  <mergeCells count="10">
    <mergeCell ref="C68:E68"/>
    <mergeCell ref="J68:J75"/>
    <mergeCell ref="A70:A83"/>
    <mergeCell ref="A25:Q25"/>
    <mergeCell ref="A2:A19"/>
    <mergeCell ref="J4:J13"/>
    <mergeCell ref="E27:E37"/>
    <mergeCell ref="A42:A58"/>
    <mergeCell ref="J46:J52"/>
    <mergeCell ref="K55:K6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prajapati</dc:creator>
  <cp:lastModifiedBy>suraj prajapati</cp:lastModifiedBy>
  <dcterms:created xsi:type="dcterms:W3CDTF">2026-08-03T16:01:58Z</dcterms:created>
  <dcterms:modified xsi:type="dcterms:W3CDTF">2026-08-05T11:04:54Z</dcterms:modified>
</cp:coreProperties>
</file>